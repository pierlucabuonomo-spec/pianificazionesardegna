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B01BA674-4EE4-4399-A8FE-78B09C14043E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EC_Comm" sheetId="1" r:id="rId1"/>
    <sheet name="sec_processes" sheetId="2" r:id="rId2"/>
    <sheet name="MIN_IM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C13" i="3"/>
  <c r="B13" i="3"/>
  <c r="D16" i="3"/>
  <c r="C16" i="3"/>
  <c r="B16" i="3"/>
  <c r="B12" i="3"/>
  <c r="C12" i="3"/>
  <c r="D12" i="3"/>
  <c r="D15" i="3" l="1"/>
  <c r="C15" i="3"/>
  <c r="B15" i="3"/>
  <c r="D11" i="3"/>
  <c r="C11" i="3"/>
  <c r="B11" i="3"/>
  <c r="D9" i="3" l="1"/>
  <c r="B9" i="3"/>
  <c r="D8" i="3"/>
  <c r="D10" i="3"/>
  <c r="D7" i="3"/>
  <c r="C7" i="3"/>
  <c r="C8" i="3"/>
  <c r="C10" i="3"/>
  <c r="B8" i="3"/>
  <c r="B10" i="3"/>
  <c r="B7" i="3"/>
  <c r="P19" i="3" l="1"/>
  <c r="O19" i="3"/>
  <c r="N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92788747-EFAA-421F-846F-056815A40557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8919B8DC-73F1-40D7-BD31-7AD18053CA52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16F281D4-A26E-4529-9883-BAB8258A2CE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ABDD369-AB49-4335-B9D0-3FC0F7566ADC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4F31DA5F-95AA-458D-A74F-C969A42CAFA7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69AB4603-2C3D-4A0D-B8C8-F9F7B6B361CD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F23F6217-A79E-464A-83C0-AFB15261D903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CF802BC9-0906-48F9-A54E-852FBA8E6A83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2973B71B-8F81-4B34-ABF8-CA0C95DADCF4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<sst xmlns="http://schemas.openxmlformats.org/spreadsheetml/2006/main" count="276" uniqueCount="175">
  <si>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</si>
  <si>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</si>
  <si>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</si>
  <si>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</si>
  <si>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</si>
  <si>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</si>
  <si>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</si>
  <si>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</si>
  <si>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</si>
  <si>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</si>
  <si>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</si>
  <si>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</si>
  <si>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</si>
  <si>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</si>
  <si>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</si>
  <si>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</si>
  <si>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</si>
  <si>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</si>
  <si>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PJ</t>
  </si>
  <si>
    <t>WIND-ON</t>
  </si>
  <si>
    <t>Onshore Wind Energy</t>
  </si>
  <si>
    <t>SOLAR</t>
  </si>
  <si>
    <t>Solar Energy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</si>
  <si>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</si>
  <si>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</si>
  <si>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</si>
  <si>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</si>
  <si>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</si>
  <si>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</si>
  <si>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</si>
  <si>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</si>
  <si>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</si>
  <si>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</si>
  <si>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</si>
  <si>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</si>
  <si>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</si>
  <si>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</si>
  <si>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</si>
  <si>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</si>
  <si>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</si>
  <si>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</si>
  <si>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</si>
  <si>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</si>
  <si>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</si>
  <si>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</si>
  <si>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</si>
  <si>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</si>
  <si>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</si>
  <si>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</si>
  <si>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</si>
  <si>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</si>
  <si>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</si>
  <si>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</si>
  <si>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</si>
  <si>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Solar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</si>
  <si>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</si>
  <si>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</si>
  <si>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</si>
  <si>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</si>
  <si>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</si>
  <si>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</si>
  <si>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</si>
  <si>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</si>
  <si>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</si>
  <si>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</si>
  <si>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</si>
  <si>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Demand Type Commodity at Output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</si>
  <si>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</si>
  <si>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</si>
  <si>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</si>
  <si>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</si>
  <si>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</si>
  <si>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</si>
  <si>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</si>
  <si>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</si>
  <si>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</si>
  <si>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Very Long Table</t>
  </si>
  <si>
    <t>~FI_T</t>
  </si>
  <si>
    <t>* TechDesc</t>
  </si>
  <si>
    <t>Comm-OUT</t>
  </si>
  <si>
    <t>COST</t>
  </si>
  <si>
    <t>ACT_BND~UP</t>
  </si>
  <si>
    <t>ACT_BND~FX</t>
  </si>
  <si>
    <t>ACT_BND~LO</t>
  </si>
  <si>
    <t>COST~2020</t>
  </si>
  <si>
    <t>COST~2025</t>
  </si>
  <si>
    <t>COST~2030</t>
  </si>
  <si>
    <t>COST~2035</t>
  </si>
  <si>
    <t>COST~2040</t>
  </si>
  <si>
    <t>COST~2045</t>
  </si>
  <si>
    <t>COST~2050</t>
  </si>
  <si>
    <t>ACT_BND~UP~2020</t>
  </si>
  <si>
    <t>ACT_BND~UP~2025</t>
  </si>
  <si>
    <t>ACT_BND~UP~2030</t>
  </si>
  <si>
    <t>ACT_BND~UP~2035</t>
  </si>
  <si>
    <t>ACT_BND~UP~2040</t>
  </si>
  <si>
    <t>ACT_BND~UP~2045</t>
  </si>
  <si>
    <t>ACT_BND~UP~2050</t>
  </si>
  <si>
    <t>ACT_BND~LO~2020</t>
  </si>
  <si>
    <t>ACT_BND~LO~2025</t>
  </si>
  <si>
    <t>ACT_BND~LO~2030</t>
  </si>
  <si>
    <t>ACT_BND~LO~2035</t>
  </si>
  <si>
    <t>ACT_BND~LO~2040</t>
  </si>
  <si>
    <t>ACT_BND~LO~2045</t>
  </si>
  <si>
    <t>ACT_BND~LO~2050</t>
  </si>
  <si>
    <t>\I: Technology Name</t>
  </si>
  <si>
    <t>Output Commodity</t>
  </si>
  <si>
    <t>Annual Extraction Upper Bound [PJ/a]</t>
  </si>
  <si>
    <t>Annual Extraction Fixed Bound [PJ/a]</t>
  </si>
  <si>
    <t>Annual Extraction Lower Bound [PJ/a]</t>
  </si>
  <si>
    <r>
      <t>-&gt;
Example of assignment of attribute values in all model years (</t>
    </r>
    <r>
      <rPr>
        <b/>
        <sz val="12"/>
        <rFont val="Arial"/>
        <family val="2"/>
        <charset val="238"/>
      </rPr>
      <t>cumbersome to maintain</t>
    </r>
    <r>
      <rPr>
        <sz val="12"/>
        <rFont val="Arial"/>
        <family val="2"/>
        <charset val="238"/>
      </rPr>
      <t>)</t>
    </r>
  </si>
  <si>
    <t xml:space="preserve">&lt;-
Only baseline price here.
Actual forecast of fuel prices in future years is in the scenario file "FUEL_PRICE_PROJ".		</t>
  </si>
  <si>
    <t>Alternative syntax with LimType Attribute</t>
  </si>
  <si>
    <t>BIOMASS</t>
  </si>
  <si>
    <t>Biomass</t>
  </si>
  <si>
    <t>HIDRO</t>
  </si>
  <si>
    <t>Hidro pump</t>
  </si>
  <si>
    <t>SAR</t>
  </si>
  <si>
    <t>IMP_BIOMASS</t>
  </si>
  <si>
    <t>Oil input Supply</t>
  </si>
  <si>
    <t>Biomass input Supply</t>
  </si>
  <si>
    <t>Syngas_Res</t>
  </si>
  <si>
    <t>Extraction Cost [MEUR/PJ]</t>
  </si>
  <si>
    <t>&lt;- supply of biomass from two different sources</t>
  </si>
  <si>
    <t>Hidro run of river</t>
  </si>
  <si>
    <t>HIDRO_RUN</t>
  </si>
  <si>
    <t>OILGAS</t>
  </si>
  <si>
    <t>MIN_OILGAS</t>
  </si>
  <si>
    <t>Industrial synthesis gas derived from oil refinery by-products</t>
  </si>
  <si>
    <t>HIDRO_STG_PUMP</t>
  </si>
  <si>
    <t>Hidro storage pump</t>
  </si>
  <si>
    <t>Extraction Cost [MEURPJ]</t>
  </si>
  <si>
    <t>?????????</t>
  </si>
  <si>
    <t>ANNUAL</t>
  </si>
  <si>
    <t>DIESEL</t>
  </si>
  <si>
    <t>GASOLINE</t>
  </si>
  <si>
    <t>Diesel</t>
  </si>
  <si>
    <t>Gasoline</t>
  </si>
  <si>
    <t>OilGasLiquid</t>
  </si>
  <si>
    <t>SOLID</t>
  </si>
  <si>
    <t>Solid Fuels</t>
  </si>
  <si>
    <t>IMP_SOLID</t>
  </si>
  <si>
    <t>Solid Input Supply</t>
  </si>
  <si>
    <t>CRUDE_OIL</t>
  </si>
  <si>
    <t>OGL</t>
  </si>
  <si>
    <t>IMP_NLG</t>
  </si>
  <si>
    <t>NLG</t>
  </si>
  <si>
    <t>FUEL_OIL</t>
  </si>
  <si>
    <t xml:space="preserve">Oil </t>
  </si>
  <si>
    <t>OTHER</t>
  </si>
  <si>
    <t>Natural Liquid Gas</t>
  </si>
  <si>
    <t>IMP_CRUDE_OIL</t>
  </si>
  <si>
    <t>Jet Fuel</t>
  </si>
  <si>
    <t>Lubricants</t>
  </si>
  <si>
    <t>Bitumen</t>
  </si>
  <si>
    <t>Ethy and Prop</t>
  </si>
  <si>
    <t>Jet_Fuel</t>
  </si>
  <si>
    <t>Ethy_and_Prop</t>
  </si>
  <si>
    <t>BIOGAS</t>
  </si>
  <si>
    <t>MIN_HIDROGEN</t>
  </si>
  <si>
    <t>Hidrogen</t>
  </si>
  <si>
    <t>HIDROGEN</t>
  </si>
  <si>
    <t>MIN_BIOGAS_AGR</t>
  </si>
  <si>
    <t>Hidrogen Supply</t>
  </si>
  <si>
    <t>Biogas Production</t>
  </si>
  <si>
    <t>\I:</t>
  </si>
  <si>
    <t>FUEL</t>
  </si>
  <si>
    <t>Fuel for engine</t>
  </si>
  <si>
    <t>MIN_SOLAR</t>
  </si>
  <si>
    <t>MIN_BIOMASS</t>
  </si>
  <si>
    <t>Local Biomass</t>
  </si>
  <si>
    <t>MIN_WIND_ON</t>
  </si>
  <si>
    <t>Wind</t>
  </si>
  <si>
    <t>MIN_HIDRO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</si>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</sst>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  <font>
      <sz val="10"/>
      <color theme="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Arial"/>
      <family val="2"/>
    </font>
    <font>
      <b/>
      <sz val="8"/>
      <color indexed="12"/>
      <name val="Arial"/>
      <family val="2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u/>
      <sz val="11"/>
      <color theme="1"/>
      <name val="Calibri"/>
      <family val="2"/>
      <scheme val="minor"/>
    </font>
    <font>
      <sz val="10"/>
      <color rgb="FFFF66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7" fillId="0" borderId="0"/>
  </cellStyleXfs>
  <cellXfs count="96">
    <xf numFmtId="0" fontId="0" fillId="0" borderId="0" xfId="0"/>
    <xf numFmtId="0" fontId="2" fillId="2" borderId="0" xfId="0" quotePrefix="1" applyFont="1" applyFill="1"/>
    <xf numFmtId="0" fontId="3" fillId="2" borderId="0" xfId="0" applyFont="1" applyFill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6" fillId="3" borderId="1" xfId="0" applyNumberFormat="1" applyFont="1" applyFill="1" applyBorder="1" applyAlignment="1">
      <alignment horizontal="center" vertical="center"/>
    </xf>
    <xf numFmtId="164" fontId="4" fillId="4" borderId="1" xfId="2" applyNumberFormat="1" applyFill="1" applyBorder="1" applyAlignment="1">
      <alignment horizontal="center" vertical="center" wrapText="1"/>
    </xf>
    <xf numFmtId="164" fontId="7" fillId="5" borderId="0" xfId="0" applyNumberFormat="1" applyFont="1" applyFill="1"/>
    <xf numFmtId="164" fontId="4" fillId="5" borderId="0" xfId="0" applyNumberFormat="1" applyFont="1" applyFill="1"/>
    <xf numFmtId="164" fontId="0" fillId="5" borderId="0" xfId="0" quotePrefix="1" applyNumberFormat="1" applyFill="1" applyAlignment="1">
      <alignment horizontal="left"/>
    </xf>
    <xf numFmtId="164" fontId="0" fillId="5" borderId="0" xfId="0" applyNumberFormat="1" applyFill="1"/>
    <xf numFmtId="164" fontId="7" fillId="6" borderId="0" xfId="0" applyNumberFormat="1" applyFont="1" applyFill="1"/>
    <xf numFmtId="164" fontId="4" fillId="6" borderId="0" xfId="0" applyNumberFormat="1" applyFont="1" applyFill="1"/>
    <xf numFmtId="164" fontId="0" fillId="6" borderId="0" xfId="0" quotePrefix="1" applyNumberFormat="1" applyFill="1" applyAlignment="1">
      <alignment horizontal="left"/>
    </xf>
    <xf numFmtId="164" fontId="0" fillId="6" borderId="0" xfId="0" applyNumberFormat="1" applyFill="1"/>
    <xf numFmtId="164" fontId="0" fillId="6" borderId="0" xfId="0" applyNumberFormat="1" applyFill="1" applyAlignment="1">
      <alignment horizontal="left"/>
    </xf>
    <xf numFmtId="0" fontId="7" fillId="0" borderId="0" xfId="0" applyFont="1"/>
    <xf numFmtId="0" fontId="7" fillId="8" borderId="4" xfId="0" applyFont="1" applyFill="1" applyBorder="1"/>
    <xf numFmtId="0" fontId="7" fillId="9" borderId="0" xfId="0" applyFont="1" applyFill="1"/>
    <xf numFmtId="0" fontId="7" fillId="8" borderId="0" xfId="0" applyFont="1" applyFill="1"/>
    <xf numFmtId="0" fontId="7" fillId="8" borderId="5" xfId="0" applyFont="1" applyFill="1" applyBorder="1"/>
    <xf numFmtId="0" fontId="2" fillId="2" borderId="0" xfId="0" applyFont="1" applyFill="1"/>
    <xf numFmtId="164" fontId="0" fillId="0" borderId="0" xfId="0" applyNumberFormat="1"/>
    <xf numFmtId="0" fontId="2" fillId="2" borderId="6" xfId="3" quotePrefix="1" applyFont="1" applyFill="1" applyBorder="1" applyAlignment="1">
      <alignment horizontal="left"/>
    </xf>
    <xf numFmtId="0" fontId="13" fillId="0" borderId="0" xfId="3" applyFont="1" applyAlignment="1">
      <alignment horizontal="right"/>
    </xf>
    <xf numFmtId="0" fontId="7" fillId="0" borderId="0" xfId="3"/>
    <xf numFmtId="3" fontId="13" fillId="0" borderId="0" xfId="3" applyNumberFormat="1" applyFont="1" applyAlignment="1">
      <alignment horizontal="left"/>
    </xf>
    <xf numFmtId="0" fontId="14" fillId="0" borderId="0" xfId="3" applyFont="1"/>
    <xf numFmtId="0" fontId="0" fillId="0" borderId="0" xfId="3" applyFont="1"/>
    <xf numFmtId="0" fontId="5" fillId="0" borderId="6" xfId="3" applyFont="1" applyBorder="1" applyAlignment="1">
      <alignment horizontal="left"/>
    </xf>
    <xf numFmtId="0" fontId="13" fillId="0" borderId="6" xfId="3" applyFont="1" applyBorder="1" applyAlignment="1">
      <alignment horizontal="right"/>
    </xf>
    <xf numFmtId="0" fontId="7" fillId="0" borderId="6" xfId="3" applyBorder="1"/>
    <xf numFmtId="0" fontId="7" fillId="0" borderId="6" xfId="3" applyBorder="1" applyAlignment="1">
      <alignment horizontal="left" vertical="center"/>
    </xf>
    <xf numFmtId="0" fontId="7" fillId="0" borderId="0" xfId="3" applyAlignment="1">
      <alignment horizontal="left" vertical="center"/>
    </xf>
    <xf numFmtId="164" fontId="6" fillId="3" borderId="7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center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4" fillId="0" borderId="0" xfId="3" applyFont="1"/>
    <xf numFmtId="0" fontId="4" fillId="5" borderId="0" xfId="0" quotePrefix="1" applyFont="1" applyFill="1" applyAlignment="1">
      <alignment horizontal="left"/>
    </xf>
    <xf numFmtId="0" fontId="4" fillId="5" borderId="0" xfId="0" quotePrefix="1" applyFont="1" applyFill="1"/>
    <xf numFmtId="2" fontId="4" fillId="5" borderId="0" xfId="0" applyNumberFormat="1" applyFont="1" applyFill="1" applyAlignment="1">
      <alignment horizontal="right"/>
    </xf>
    <xf numFmtId="1" fontId="4" fillId="5" borderId="0" xfId="0" applyNumberFormat="1" applyFont="1" applyFill="1" applyAlignment="1">
      <alignment horizontal="right"/>
    </xf>
    <xf numFmtId="2" fontId="4" fillId="5" borderId="0" xfId="1" applyNumberFormat="1" applyFont="1" applyFill="1" applyAlignment="1">
      <alignment horizontal="right"/>
    </xf>
    <xf numFmtId="0" fontId="4" fillId="6" borderId="0" xfId="0" quotePrefix="1" applyFont="1" applyFill="1" applyAlignment="1">
      <alignment horizontal="left"/>
    </xf>
    <xf numFmtId="2" fontId="4" fillId="6" borderId="0" xfId="0" applyNumberFormat="1" applyFont="1" applyFill="1" applyAlignment="1">
      <alignment horizontal="right"/>
    </xf>
    <xf numFmtId="1" fontId="4" fillId="6" borderId="0" xfId="0" applyNumberFormat="1" applyFont="1" applyFill="1" applyAlignment="1">
      <alignment horizontal="right"/>
    </xf>
    <xf numFmtId="0" fontId="4" fillId="6" borderId="2" xfId="0" quotePrefix="1" applyFont="1" applyFill="1" applyBorder="1" applyAlignment="1">
      <alignment horizontal="left"/>
    </xf>
    <xf numFmtId="1" fontId="4" fillId="6" borderId="2" xfId="0" applyNumberFormat="1" applyFont="1" applyFill="1" applyBorder="1"/>
    <xf numFmtId="165" fontId="4" fillId="6" borderId="2" xfId="0" applyNumberFormat="1" applyFont="1" applyFill="1" applyBorder="1" applyAlignment="1">
      <alignment horizontal="right"/>
    </xf>
    <xf numFmtId="1" fontId="4" fillId="6" borderId="2" xfId="0" applyNumberFormat="1" applyFont="1" applyFill="1" applyBorder="1" applyAlignment="1">
      <alignment horizontal="right"/>
    </xf>
    <xf numFmtId="165" fontId="4" fillId="6" borderId="16" xfId="0" applyNumberFormat="1" applyFont="1" applyFill="1" applyBorder="1" applyAlignment="1">
      <alignment horizontal="right"/>
    </xf>
    <xf numFmtId="165" fontId="4" fillId="6" borderId="17" xfId="0" applyNumberFormat="1" applyFont="1" applyFill="1" applyBorder="1" applyAlignment="1">
      <alignment horizontal="right"/>
    </xf>
    <xf numFmtId="1" fontId="4" fillId="6" borderId="16" xfId="0" applyNumberFormat="1" applyFont="1" applyFill="1" applyBorder="1" applyAlignment="1">
      <alignment horizontal="right"/>
    </xf>
    <xf numFmtId="0" fontId="4" fillId="6" borderId="0" xfId="0" quotePrefix="1" applyFont="1" applyFill="1"/>
    <xf numFmtId="0" fontId="17" fillId="0" borderId="0" xfId="0" applyFont="1"/>
    <xf numFmtId="164" fontId="7" fillId="0" borderId="0" xfId="0" applyNumberFormat="1" applyFont="1"/>
    <xf numFmtId="164" fontId="0" fillId="0" borderId="0" xfId="0" quotePrefix="1" applyNumberFormat="1" applyAlignment="1">
      <alignment horizontal="left"/>
    </xf>
    <xf numFmtId="2" fontId="4" fillId="5" borderId="12" xfId="1" applyNumberFormat="1" applyFont="1" applyFill="1" applyBorder="1" applyAlignment="1">
      <alignment horizontal="right"/>
    </xf>
    <xf numFmtId="2" fontId="4" fillId="5" borderId="0" xfId="1" applyNumberFormat="1" applyFont="1" applyFill="1" applyBorder="1" applyAlignment="1">
      <alignment horizontal="right"/>
    </xf>
    <xf numFmtId="2" fontId="4" fillId="5" borderId="13" xfId="1" applyNumberFormat="1" applyFont="1" applyFill="1" applyBorder="1" applyAlignment="1">
      <alignment horizontal="right"/>
    </xf>
    <xf numFmtId="164" fontId="7" fillId="0" borderId="2" xfId="0" applyNumberFormat="1" applyFont="1" applyBorder="1"/>
    <xf numFmtId="164" fontId="4" fillId="0" borderId="2" xfId="0" applyNumberFormat="1" applyFont="1" applyBorder="1"/>
    <xf numFmtId="164" fontId="0" fillId="0" borderId="2" xfId="0" applyNumberFormat="1" applyBorder="1" applyAlignment="1">
      <alignment horizontal="left"/>
    </xf>
    <xf numFmtId="164" fontId="0" fillId="0" borderId="2" xfId="0" applyNumberFormat="1" applyBorder="1"/>
    <xf numFmtId="2" fontId="4" fillId="0" borderId="0" xfId="0" applyNumberFormat="1" applyFont="1" applyAlignment="1">
      <alignment horizontal="right"/>
    </xf>
    <xf numFmtId="164" fontId="0" fillId="5" borderId="0" xfId="0" applyNumberFormat="1" applyFill="1" applyAlignment="1">
      <alignment horizontal="left"/>
    </xf>
    <xf numFmtId="0" fontId="0" fillId="5" borderId="0" xfId="0" applyFill="1"/>
    <xf numFmtId="164" fontId="4" fillId="5" borderId="20" xfId="0" applyNumberFormat="1" applyFont="1" applyFill="1" applyBorder="1"/>
    <xf numFmtId="164" fontId="7" fillId="5" borderId="20" xfId="0" applyNumberFormat="1" applyFont="1" applyFill="1" applyBorder="1"/>
    <xf numFmtId="164" fontId="0" fillId="5" borderId="20" xfId="0" applyNumberFormat="1" applyFill="1" applyBorder="1"/>
    <xf numFmtId="0" fontId="0" fillId="6" borderId="0" xfId="0" applyFill="1"/>
    <xf numFmtId="164" fontId="0" fillId="5" borderId="20" xfId="0" quotePrefix="1" applyNumberFormat="1" applyFill="1" applyBorder="1" applyAlignment="1">
      <alignment horizontal="left"/>
    </xf>
    <xf numFmtId="1" fontId="18" fillId="6" borderId="0" xfId="0" applyNumberFormat="1" applyFont="1" applyFill="1" applyAlignment="1">
      <alignment horizontal="right"/>
    </xf>
    <xf numFmtId="0" fontId="15" fillId="10" borderId="10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5" fillId="10" borderId="19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15" xfId="0" applyFont="1" applyFill="1" applyBorder="1" applyAlignment="1">
      <alignment horizontal="center" vertical="center" wrapText="1"/>
    </xf>
    <xf numFmtId="0" fontId="15" fillId="10" borderId="10" xfId="3" quotePrefix="1" applyFont="1" applyFill="1" applyBorder="1" applyAlignment="1">
      <alignment horizontal="center" vertical="center" wrapText="1"/>
    </xf>
    <xf numFmtId="0" fontId="15" fillId="10" borderId="4" xfId="3" applyFont="1" applyFill="1" applyBorder="1" applyAlignment="1">
      <alignment horizontal="center" vertical="center"/>
    </xf>
    <xf numFmtId="0" fontId="15" fillId="10" borderId="11" xfId="3" applyFont="1" applyFill="1" applyBorder="1" applyAlignment="1">
      <alignment horizontal="center" vertical="center"/>
    </xf>
    <xf numFmtId="0" fontId="15" fillId="10" borderId="14" xfId="3" applyFont="1" applyFill="1" applyBorder="1" applyAlignment="1">
      <alignment horizontal="center" vertical="center"/>
    </xf>
    <xf numFmtId="0" fontId="15" fillId="10" borderId="2" xfId="3" applyFont="1" applyFill="1" applyBorder="1" applyAlignment="1">
      <alignment horizontal="center" vertical="center"/>
    </xf>
    <xf numFmtId="0" fontId="15" fillId="10" borderId="15" xfId="3" applyFont="1" applyFill="1" applyBorder="1" applyAlignment="1">
      <alignment horizontal="center" vertical="center"/>
    </xf>
    <xf numFmtId="164" fontId="4" fillId="4" borderId="12" xfId="2" applyNumberFormat="1" applyFill="1" applyBorder="1" applyAlignment="1">
      <alignment horizontal="center" vertical="center" wrapText="1"/>
    </xf>
    <xf numFmtId="164" fontId="4" fillId="4" borderId="0" xfId="2" applyNumberFormat="1" applyFill="1" applyAlignment="1">
      <alignment horizontal="center" vertical="center" wrapText="1"/>
    </xf>
    <xf numFmtId="164" fontId="4" fillId="4" borderId="13" xfId="2" applyNumberForma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/>
    </xf>
    <xf numFmtId="0" fontId="7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8" fillId="7" borderId="0" xfId="0" applyFont="1" applyFill="1" applyAlignment="1">
      <alignment horizontal="center"/>
    </xf>
  </cellXfs>
  <cellStyles count="4">
    <cellStyle name="Normal 10" xfId="2" xr:uid="{440C4617-FDFE-4850-B05E-20000A760AB4}"/>
    <cellStyle name="Normal_MIN" xfId="3" xr:uid="{248F4307-1D39-41EB-A2C5-8E1326E5844C}"/>
    <cellStyle name="Normale" xfId="0" builtinId="0"/>
    <cellStyle name="Percentuale" xfId="1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8"/>
  <sheetViews>
    <sheetView topLeftCell="A6" zoomScale="120" zoomScaleNormal="166" workbookViewId="0">
      <selection activeCell="E27" sqref="E27"/>
    </sheetView>
  </sheetViews>
  <sheetFormatPr defaultRowHeight="14.25" x14ac:dyDescent="0.45"/>
  <cols>
    <col min="3" max="3" width="25.796875" customWidth="1"/>
    <col min="4" max="4" width="25.53125" customWidth="1"/>
    <col min="6" max="6" width="12.3984375" customWidth="1"/>
    <col min="7" max="7" width="13.73046875" customWidth="1"/>
    <col min="8" max="8" width="13.265625" customWidth="1"/>
    <col min="9" max="9" width="16.19921875" customWidth="1"/>
  </cols>
  <sheetData>
    <row r="2" spans="2:9" ht="17.25" x14ac:dyDescent="0.45">
      <c r="B2" s="1" t="s">
        <v>0</v>
      </c>
      <c r="C2" s="2"/>
      <c r="D2" s="2"/>
      <c r="E2" s="3"/>
      <c r="F2" s="3"/>
      <c r="G2" s="3"/>
      <c r="H2" s="3"/>
      <c r="I2" s="3"/>
    </row>
    <row r="3" spans="2:9" x14ac:dyDescent="0.45">
      <c r="D3" s="3"/>
      <c r="E3" s="3"/>
      <c r="F3" s="3"/>
      <c r="G3" s="3"/>
      <c r="H3" s="3"/>
      <c r="I3" s="3"/>
    </row>
    <row r="4" spans="2:9" x14ac:dyDescent="0.45">
      <c r="B4" s="4" t="s">
        <v>1</v>
      </c>
      <c r="C4" s="5"/>
      <c r="D4" s="5"/>
      <c r="E4" s="5"/>
      <c r="F4" s="5"/>
      <c r="G4" s="5"/>
      <c r="H4" s="5"/>
      <c r="I4" s="5"/>
    </row>
    <row r="5" spans="2:9" x14ac:dyDescent="0.45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</row>
    <row r="6" spans="2:9" ht="38.25" x14ac:dyDescent="0.45">
      <c r="B6" s="7" t="s">
        <v>10</v>
      </c>
      <c r="C6" s="7" t="s">
        <v>11</v>
      </c>
      <c r="D6" s="7" t="s">
        <v>12</v>
      </c>
      <c r="E6" s="7" t="s">
        <v>5</v>
      </c>
      <c r="F6" s="7" t="s">
        <v>13</v>
      </c>
      <c r="G6" s="7" t="s">
        <v>14</v>
      </c>
      <c r="H6" s="7" t="s">
        <v>15</v>
      </c>
      <c r="I6" s="7" t="s">
        <v>16</v>
      </c>
    </row>
    <row r="7" spans="2:9" x14ac:dyDescent="0.45">
      <c r="B7" s="12" t="s">
        <v>17</v>
      </c>
      <c r="C7" s="13" t="s">
        <v>139</v>
      </c>
      <c r="D7" s="12" t="s">
        <v>140</v>
      </c>
      <c r="E7" s="14" t="s">
        <v>18</v>
      </c>
      <c r="F7" s="15"/>
      <c r="G7" s="15"/>
      <c r="H7" s="15"/>
      <c r="I7" s="15"/>
    </row>
    <row r="8" spans="2:9" x14ac:dyDescent="0.45">
      <c r="B8" s="8" t="s">
        <v>17</v>
      </c>
      <c r="C8" s="9" t="s">
        <v>143</v>
      </c>
      <c r="D8" s="8" t="s">
        <v>148</v>
      </c>
      <c r="E8" s="10" t="s">
        <v>18</v>
      </c>
      <c r="F8" s="11"/>
      <c r="G8" s="11"/>
      <c r="H8" s="11"/>
      <c r="I8" s="11"/>
    </row>
    <row r="9" spans="2:9" x14ac:dyDescent="0.45">
      <c r="B9" s="12" t="s">
        <v>17</v>
      </c>
      <c r="C9" s="13" t="s">
        <v>126</v>
      </c>
      <c r="D9" s="12" t="s">
        <v>121</v>
      </c>
      <c r="E9" s="14" t="s">
        <v>18</v>
      </c>
      <c r="F9" s="15"/>
      <c r="G9" s="15"/>
      <c r="H9" s="15"/>
      <c r="I9" s="15"/>
    </row>
    <row r="10" spans="2:9" x14ac:dyDescent="0.45">
      <c r="B10" s="56" t="s">
        <v>17</v>
      </c>
      <c r="C10" s="5" t="s">
        <v>134</v>
      </c>
      <c r="D10" s="56" t="s">
        <v>136</v>
      </c>
      <c r="E10" s="57" t="s">
        <v>18</v>
      </c>
      <c r="F10" s="23"/>
      <c r="G10" s="23"/>
      <c r="H10" s="23"/>
      <c r="I10" s="23"/>
    </row>
    <row r="11" spans="2:9" x14ac:dyDescent="0.45">
      <c r="B11" s="12" t="s">
        <v>17</v>
      </c>
      <c r="C11" s="13" t="s">
        <v>135</v>
      </c>
      <c r="D11" s="12" t="s">
        <v>137</v>
      </c>
      <c r="E11" s="14" t="s">
        <v>18</v>
      </c>
      <c r="F11" s="15"/>
      <c r="G11" s="15"/>
      <c r="H11" s="15"/>
      <c r="I11" s="15"/>
    </row>
    <row r="12" spans="2:9" x14ac:dyDescent="0.45">
      <c r="B12" s="56" t="s">
        <v>17</v>
      </c>
      <c r="C12" s="5" t="s">
        <v>144</v>
      </c>
      <c r="D12" s="56" t="s">
        <v>138</v>
      </c>
      <c r="E12" s="57" t="s">
        <v>18</v>
      </c>
      <c r="F12" s="23"/>
      <c r="G12" s="23"/>
      <c r="H12" s="23"/>
      <c r="I12" s="23"/>
    </row>
    <row r="13" spans="2:9" x14ac:dyDescent="0.45">
      <c r="B13" s="12" t="s">
        <v>17</v>
      </c>
      <c r="C13" s="13" t="s">
        <v>147</v>
      </c>
      <c r="D13" s="13" t="s">
        <v>147</v>
      </c>
      <c r="E13" s="14" t="s">
        <v>18</v>
      </c>
      <c r="F13" s="15"/>
      <c r="G13" s="15"/>
      <c r="H13" s="15"/>
      <c r="I13" s="15"/>
    </row>
    <row r="14" spans="2:9" x14ac:dyDescent="0.45">
      <c r="B14" s="56" t="s">
        <v>17</v>
      </c>
      <c r="C14" s="5" t="s">
        <v>156</v>
      </c>
      <c r="D14" s="5" t="s">
        <v>152</v>
      </c>
      <c r="E14" s="57" t="s">
        <v>18</v>
      </c>
      <c r="F14" s="23"/>
      <c r="G14" s="23"/>
      <c r="H14" s="23"/>
      <c r="I14" s="23"/>
    </row>
    <row r="15" spans="2:9" x14ac:dyDescent="0.45">
      <c r="B15" s="12" t="s">
        <v>17</v>
      </c>
      <c r="C15" s="13" t="s">
        <v>153</v>
      </c>
      <c r="D15" s="13" t="s">
        <v>153</v>
      </c>
      <c r="E15" s="14" t="s">
        <v>18</v>
      </c>
      <c r="F15" s="15"/>
      <c r="G15" s="15"/>
      <c r="H15" s="15"/>
      <c r="I15" s="15"/>
    </row>
    <row r="16" spans="2:9" x14ac:dyDescent="0.45">
      <c r="B16" s="56" t="s">
        <v>17</v>
      </c>
      <c r="C16" s="5" t="s">
        <v>154</v>
      </c>
      <c r="D16" s="5" t="s">
        <v>154</v>
      </c>
      <c r="E16" s="57" t="s">
        <v>18</v>
      </c>
      <c r="F16" s="23"/>
      <c r="G16" s="23"/>
      <c r="H16" s="23"/>
      <c r="I16" s="23"/>
    </row>
    <row r="17" spans="2:9" x14ac:dyDescent="0.45">
      <c r="B17" s="12" t="s">
        <v>17</v>
      </c>
      <c r="C17" s="13" t="s">
        <v>157</v>
      </c>
      <c r="D17" s="13" t="s">
        <v>155</v>
      </c>
      <c r="E17" s="14" t="s">
        <v>18</v>
      </c>
      <c r="F17" s="15"/>
      <c r="G17" s="15"/>
      <c r="H17" s="15"/>
      <c r="I17" s="15"/>
    </row>
    <row r="18" spans="2:9" x14ac:dyDescent="0.45">
      <c r="B18" s="56" t="s">
        <v>17</v>
      </c>
      <c r="C18" s="5" t="s">
        <v>146</v>
      </c>
      <c r="D18" s="56" t="s">
        <v>150</v>
      </c>
      <c r="E18" s="57" t="s">
        <v>18</v>
      </c>
      <c r="F18" s="23"/>
      <c r="G18" s="23"/>
      <c r="H18" s="23"/>
      <c r="I18" s="23"/>
    </row>
    <row r="19" spans="2:9" x14ac:dyDescent="0.45">
      <c r="B19" s="12" t="s">
        <v>17</v>
      </c>
      <c r="C19" s="13" t="s">
        <v>113</v>
      </c>
      <c r="D19" s="12" t="s">
        <v>114</v>
      </c>
      <c r="E19" s="14" t="s">
        <v>18</v>
      </c>
      <c r="F19" s="15"/>
      <c r="G19" s="15"/>
      <c r="H19" s="15"/>
      <c r="I19" s="15"/>
    </row>
    <row r="20" spans="2:9" x14ac:dyDescent="0.45">
      <c r="B20" s="56" t="s">
        <v>17</v>
      </c>
      <c r="C20" s="5" t="s">
        <v>115</v>
      </c>
      <c r="D20" s="56" t="s">
        <v>116</v>
      </c>
      <c r="E20" s="57" t="s">
        <v>18</v>
      </c>
      <c r="F20" s="23"/>
      <c r="G20" s="23"/>
      <c r="H20" s="23"/>
      <c r="I20" s="23"/>
    </row>
    <row r="21" spans="2:9" x14ac:dyDescent="0.45">
      <c r="B21" s="12" t="s">
        <v>17</v>
      </c>
      <c r="C21" s="13" t="s">
        <v>125</v>
      </c>
      <c r="D21" s="12" t="s">
        <v>124</v>
      </c>
      <c r="E21" s="14" t="s">
        <v>18</v>
      </c>
      <c r="F21" s="15"/>
      <c r="G21" s="15"/>
      <c r="H21" s="15"/>
      <c r="I21" s="15"/>
    </row>
    <row r="22" spans="2:9" x14ac:dyDescent="0.45">
      <c r="B22" s="8" t="s">
        <v>17</v>
      </c>
      <c r="C22" s="9" t="s">
        <v>129</v>
      </c>
      <c r="D22" s="8" t="s">
        <v>130</v>
      </c>
      <c r="E22" s="10" t="s">
        <v>18</v>
      </c>
      <c r="F22" s="11"/>
      <c r="G22" s="11"/>
      <c r="H22" s="11"/>
      <c r="I22" s="11"/>
    </row>
    <row r="23" spans="2:9" x14ac:dyDescent="0.45">
      <c r="B23" s="12" t="s">
        <v>17</v>
      </c>
      <c r="C23" s="13" t="s">
        <v>19</v>
      </c>
      <c r="D23" s="12" t="s">
        <v>20</v>
      </c>
      <c r="E23" s="16" t="s">
        <v>18</v>
      </c>
      <c r="F23" s="15"/>
      <c r="G23" s="15"/>
      <c r="H23" s="15"/>
      <c r="I23" s="15"/>
    </row>
    <row r="24" spans="2:9" x14ac:dyDescent="0.45">
      <c r="B24" s="8" t="s">
        <v>17</v>
      </c>
      <c r="C24" s="9" t="s">
        <v>158</v>
      </c>
      <c r="D24" s="8" t="s">
        <v>158</v>
      </c>
      <c r="E24" s="66" t="s">
        <v>18</v>
      </c>
      <c r="F24" s="11"/>
      <c r="G24" s="11"/>
      <c r="H24" s="11"/>
      <c r="I24" s="11"/>
    </row>
    <row r="25" spans="2:9" x14ac:dyDescent="0.45">
      <c r="B25" s="12" t="s">
        <v>17</v>
      </c>
      <c r="C25" s="13" t="s">
        <v>21</v>
      </c>
      <c r="D25" s="12" t="s">
        <v>22</v>
      </c>
      <c r="E25" s="16" t="s">
        <v>18</v>
      </c>
      <c r="F25" s="15"/>
      <c r="G25" s="15"/>
      <c r="H25" s="15"/>
      <c r="I25" s="15"/>
    </row>
    <row r="26" spans="2:9" s="67" customFormat="1" x14ac:dyDescent="0.45">
      <c r="B26" s="8" t="s">
        <v>17</v>
      </c>
      <c r="C26" s="9" t="s">
        <v>166</v>
      </c>
      <c r="D26" s="8" t="s">
        <v>167</v>
      </c>
      <c r="E26" s="66" t="s">
        <v>18</v>
      </c>
      <c r="F26" s="11"/>
      <c r="G26" s="11"/>
      <c r="H26" s="11"/>
      <c r="I26" s="11"/>
    </row>
    <row r="27" spans="2:9" x14ac:dyDescent="0.45">
      <c r="B27" s="12" t="s">
        <v>17</v>
      </c>
      <c r="C27" s="13" t="s">
        <v>161</v>
      </c>
      <c r="D27" s="12" t="s">
        <v>160</v>
      </c>
      <c r="E27" s="16" t="s">
        <v>18</v>
      </c>
      <c r="F27" s="15"/>
      <c r="G27" s="15"/>
      <c r="H27" s="15"/>
      <c r="I27" s="15"/>
    </row>
    <row r="28" spans="2:9" ht="14.65" thickBot="1" x14ac:dyDescent="0.5">
      <c r="B28" s="61" t="s">
        <v>17</v>
      </c>
      <c r="C28" s="62" t="s">
        <v>149</v>
      </c>
      <c r="D28" s="61" t="s">
        <v>149</v>
      </c>
      <c r="E28" s="63" t="s">
        <v>18</v>
      </c>
      <c r="F28" s="64"/>
      <c r="G28" s="64"/>
      <c r="H28" s="64"/>
      <c r="I28" s="64"/>
    </row>
    <row r="30" spans="2:9" x14ac:dyDescent="0.45">
      <c r="B30" s="17"/>
      <c r="C30" s="17"/>
      <c r="E30" s="17"/>
      <c r="G30" s="55"/>
    </row>
    <row r="33" spans="2:3" ht="14.65" thickBot="1" x14ac:dyDescent="0.5">
      <c r="B33" s="92" t="s">
        <v>23</v>
      </c>
      <c r="C33" s="92"/>
    </row>
    <row r="34" spans="2:3" x14ac:dyDescent="0.45">
      <c r="B34" s="18" t="s">
        <v>17</v>
      </c>
      <c r="C34" s="18" t="s">
        <v>24</v>
      </c>
    </row>
    <row r="35" spans="2:3" x14ac:dyDescent="0.45">
      <c r="B35" s="19" t="s">
        <v>25</v>
      </c>
      <c r="C35" s="19" t="s">
        <v>26</v>
      </c>
    </row>
    <row r="36" spans="2:3" x14ac:dyDescent="0.45">
      <c r="B36" s="20" t="s">
        <v>27</v>
      </c>
      <c r="C36" s="20" t="s">
        <v>28</v>
      </c>
    </row>
    <row r="37" spans="2:3" x14ac:dyDescent="0.45">
      <c r="B37" s="19" t="s">
        <v>29</v>
      </c>
      <c r="C37" s="19" t="s">
        <v>30</v>
      </c>
    </row>
    <row r="38" spans="2:3" ht="14.65" thickBot="1" x14ac:dyDescent="0.5">
      <c r="B38" s="21" t="s">
        <v>31</v>
      </c>
      <c r="C38" s="21" t="s">
        <v>32</v>
      </c>
    </row>
  </sheetData>
  <mergeCells count="1">
    <mergeCell ref="B33:C3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9809-96AE-45E6-908D-D2FFE50FA40C}">
  <dimension ref="A2:P30"/>
  <sheetViews>
    <sheetView tabSelected="1" zoomScale="83" zoomScaleNormal="70" workbookViewId="0">
      <selection activeCell="H15" sqref="H15"/>
    </sheetView>
  </sheetViews>
  <sheetFormatPr defaultRowHeight="14.25" x14ac:dyDescent="0.45"/>
  <cols>
    <col min="3" max="3" width="25.1328125" customWidth="1"/>
    <col min="4" max="4" width="33.59765625" customWidth="1"/>
    <col min="5" max="5" width="34.73046875" customWidth="1"/>
    <col min="9" max="9" width="11.53125" customWidth="1"/>
  </cols>
  <sheetData>
    <row r="2" spans="1:16" ht="17.25" x14ac:dyDescent="0.45">
      <c r="B2" s="1" t="s">
        <v>33</v>
      </c>
      <c r="C2" s="22"/>
      <c r="D2" s="22"/>
    </row>
    <row r="4" spans="1:16" x14ac:dyDescent="0.45">
      <c r="B4" s="4" t="s">
        <v>34</v>
      </c>
      <c r="C4" s="4"/>
      <c r="D4" s="23"/>
      <c r="E4" s="23"/>
      <c r="F4" s="23"/>
      <c r="G4" s="23"/>
      <c r="H4" s="23"/>
      <c r="I4" s="23"/>
      <c r="J4" s="23"/>
    </row>
    <row r="5" spans="1:16" x14ac:dyDescent="0.45"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43</v>
      </c>
    </row>
    <row r="6" spans="1:16" ht="38.25" x14ac:dyDescent="0.45"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 t="s">
        <v>49</v>
      </c>
      <c r="H6" s="7" t="s">
        <v>14</v>
      </c>
      <c r="I6" s="7" t="s">
        <v>50</v>
      </c>
      <c r="J6" s="7" t="s">
        <v>51</v>
      </c>
    </row>
    <row r="7" spans="1:16" x14ac:dyDescent="0.45">
      <c r="B7" s="8" t="s">
        <v>53</v>
      </c>
      <c r="C7" s="9" t="s">
        <v>117</v>
      </c>
      <c r="D7" s="8" t="s">
        <v>141</v>
      </c>
      <c r="E7" s="10" t="s">
        <v>142</v>
      </c>
      <c r="F7" s="11" t="s">
        <v>18</v>
      </c>
      <c r="G7" s="11"/>
      <c r="H7" s="11" t="s">
        <v>133</v>
      </c>
      <c r="I7" s="11"/>
      <c r="J7" s="11"/>
    </row>
    <row r="8" spans="1:16" x14ac:dyDescent="0.45">
      <c r="B8" s="12" t="s">
        <v>53</v>
      </c>
      <c r="C8" s="13" t="s">
        <v>117</v>
      </c>
      <c r="D8" s="12" t="s">
        <v>151</v>
      </c>
      <c r="E8" s="14" t="s">
        <v>119</v>
      </c>
      <c r="F8" s="15" t="s">
        <v>18</v>
      </c>
      <c r="G8" s="15"/>
      <c r="H8" s="15" t="s">
        <v>133</v>
      </c>
      <c r="I8" s="15"/>
      <c r="J8" s="15"/>
    </row>
    <row r="9" spans="1:16" x14ac:dyDescent="0.45">
      <c r="B9" s="8" t="s">
        <v>53</v>
      </c>
      <c r="C9" s="9" t="s">
        <v>117</v>
      </c>
      <c r="D9" s="8" t="s">
        <v>118</v>
      </c>
      <c r="E9" s="10" t="s">
        <v>120</v>
      </c>
      <c r="F9" s="11" t="s">
        <v>18</v>
      </c>
      <c r="G9" s="11"/>
      <c r="H9" s="11" t="s">
        <v>133</v>
      </c>
      <c r="I9" s="11"/>
      <c r="J9" s="11"/>
      <c r="L9" s="93" t="s">
        <v>123</v>
      </c>
      <c r="M9" s="94"/>
      <c r="N9" s="94"/>
      <c r="O9" s="94"/>
      <c r="P9" s="94"/>
    </row>
    <row r="10" spans="1:16" x14ac:dyDescent="0.45">
      <c r="B10" s="12" t="s">
        <v>53</v>
      </c>
      <c r="C10" s="13" t="s">
        <v>117</v>
      </c>
      <c r="D10" s="12" t="s">
        <v>145</v>
      </c>
      <c r="E10" s="14" t="s">
        <v>150</v>
      </c>
      <c r="F10" s="15" t="s">
        <v>18</v>
      </c>
      <c r="G10" s="15"/>
      <c r="H10" s="15" t="s">
        <v>133</v>
      </c>
      <c r="I10" s="15"/>
      <c r="J10" s="15"/>
      <c r="L10" s="93"/>
      <c r="M10" s="94"/>
      <c r="N10" s="94"/>
      <c r="O10" s="94"/>
      <c r="P10" s="94"/>
    </row>
    <row r="11" spans="1:16" x14ac:dyDescent="0.45">
      <c r="B11" s="8" t="s">
        <v>165</v>
      </c>
      <c r="C11" s="9"/>
      <c r="D11" s="8"/>
      <c r="F11" s="11"/>
      <c r="G11" s="11"/>
      <c r="H11" s="11"/>
      <c r="I11" s="11"/>
      <c r="J11" s="11"/>
      <c r="L11" s="93"/>
      <c r="M11" s="94"/>
      <c r="N11" s="94"/>
      <c r="O11" s="94"/>
      <c r="P11" s="94"/>
    </row>
    <row r="12" spans="1:16" x14ac:dyDescent="0.45">
      <c r="A12" s="67"/>
      <c r="B12" s="12" t="s">
        <v>52</v>
      </c>
      <c r="C12" s="13" t="s">
        <v>117</v>
      </c>
      <c r="D12" s="12" t="s">
        <v>127</v>
      </c>
      <c r="E12" s="71" t="s">
        <v>128</v>
      </c>
      <c r="F12" s="15" t="s">
        <v>18</v>
      </c>
      <c r="G12" s="15"/>
      <c r="H12" s="15" t="s">
        <v>133</v>
      </c>
      <c r="I12" s="15"/>
      <c r="J12" s="15"/>
      <c r="L12" s="93"/>
      <c r="M12" s="94"/>
      <c r="N12" s="94"/>
      <c r="O12" s="94"/>
      <c r="P12" s="94"/>
    </row>
    <row r="13" spans="1:16" x14ac:dyDescent="0.45">
      <c r="B13" s="8" t="s">
        <v>52</v>
      </c>
      <c r="C13" s="9" t="s">
        <v>117</v>
      </c>
      <c r="D13" s="8" t="s">
        <v>168</v>
      </c>
      <c r="E13" s="10" t="s">
        <v>54</v>
      </c>
      <c r="F13" s="11" t="s">
        <v>18</v>
      </c>
      <c r="G13" s="11"/>
      <c r="H13" s="11" t="s">
        <v>133</v>
      </c>
      <c r="I13" s="11"/>
      <c r="J13" s="11"/>
    </row>
    <row r="14" spans="1:16" x14ac:dyDescent="0.45">
      <c r="B14" s="8" t="s">
        <v>52</v>
      </c>
      <c r="C14" s="9" t="s">
        <v>117</v>
      </c>
      <c r="D14" s="8" t="s">
        <v>169</v>
      </c>
      <c r="E14" s="10" t="s">
        <v>170</v>
      </c>
      <c r="F14" s="11" t="s">
        <v>18</v>
      </c>
      <c r="G14" s="11"/>
      <c r="H14" s="11" t="s">
        <v>133</v>
      </c>
      <c r="I14" s="11"/>
      <c r="J14" s="11"/>
    </row>
    <row r="15" spans="1:16" x14ac:dyDescent="0.45">
      <c r="B15" s="8" t="s">
        <v>52</v>
      </c>
      <c r="C15" s="9" t="s">
        <v>117</v>
      </c>
      <c r="D15" s="8" t="s">
        <v>171</v>
      </c>
      <c r="E15" s="10" t="s">
        <v>172</v>
      </c>
      <c r="F15" s="11" t="s">
        <v>18</v>
      </c>
      <c r="G15" s="11"/>
      <c r="H15" s="11" t="s">
        <v>133</v>
      </c>
      <c r="I15" s="11"/>
      <c r="J15" s="11"/>
    </row>
    <row r="16" spans="1:16" x14ac:dyDescent="0.45">
      <c r="B16" s="12" t="s">
        <v>52</v>
      </c>
      <c r="C16" s="13" t="s">
        <v>117</v>
      </c>
      <c r="D16" s="12" t="s">
        <v>162</v>
      </c>
      <c r="E16" s="14" t="s">
        <v>164</v>
      </c>
      <c r="F16" s="15" t="s">
        <v>18</v>
      </c>
      <c r="G16" s="15"/>
      <c r="H16" s="15" t="s">
        <v>133</v>
      </c>
      <c r="I16" s="15"/>
      <c r="J16" s="15"/>
    </row>
    <row r="17" spans="2:10" x14ac:dyDescent="0.45">
      <c r="B17" s="69" t="s">
        <v>52</v>
      </c>
      <c r="C17" s="68" t="s">
        <v>117</v>
      </c>
      <c r="D17" s="69" t="s">
        <v>159</v>
      </c>
      <c r="E17" s="72" t="s">
        <v>163</v>
      </c>
      <c r="F17" s="70" t="s">
        <v>18</v>
      </c>
      <c r="G17" s="70"/>
      <c r="H17" s="70" t="s">
        <v>133</v>
      </c>
      <c r="I17" s="70"/>
      <c r="J17" s="70"/>
    </row>
    <row r="21" spans="2:10" x14ac:dyDescent="0.45">
      <c r="B21" s="95" t="s">
        <v>55</v>
      </c>
      <c r="C21" s="95"/>
      <c r="D21" s="95"/>
    </row>
    <row r="22" spans="2:10" x14ac:dyDescent="0.45">
      <c r="B22" s="20" t="s">
        <v>56</v>
      </c>
      <c r="C22" s="20" t="s">
        <v>57</v>
      </c>
      <c r="D22" s="20"/>
    </row>
    <row r="23" spans="2:10" x14ac:dyDescent="0.45">
      <c r="B23" s="19" t="s">
        <v>58</v>
      </c>
      <c r="C23" s="19" t="s">
        <v>59</v>
      </c>
      <c r="D23" s="19"/>
    </row>
    <row r="24" spans="2:10" x14ac:dyDescent="0.45">
      <c r="B24" s="20" t="s">
        <v>60</v>
      </c>
      <c r="C24" s="20" t="s">
        <v>61</v>
      </c>
      <c r="D24" s="20"/>
    </row>
    <row r="25" spans="2:10" x14ac:dyDescent="0.45">
      <c r="B25" s="19" t="s">
        <v>62</v>
      </c>
      <c r="C25" s="19" t="s">
        <v>63</v>
      </c>
      <c r="D25" s="19"/>
    </row>
    <row r="26" spans="2:10" x14ac:dyDescent="0.45">
      <c r="B26" s="20" t="s">
        <v>64</v>
      </c>
      <c r="C26" s="20" t="s">
        <v>65</v>
      </c>
      <c r="D26" s="20" t="s">
        <v>66</v>
      </c>
    </row>
    <row r="27" spans="2:10" x14ac:dyDescent="0.45">
      <c r="B27" s="19" t="s">
        <v>53</v>
      </c>
      <c r="C27" s="19" t="s">
        <v>67</v>
      </c>
      <c r="D27" s="19" t="s">
        <v>68</v>
      </c>
    </row>
    <row r="28" spans="2:10" x14ac:dyDescent="0.45">
      <c r="B28" s="20" t="s">
        <v>69</v>
      </c>
      <c r="C28" s="20" t="s">
        <v>70</v>
      </c>
      <c r="D28" s="20" t="s">
        <v>71</v>
      </c>
    </row>
    <row r="29" spans="2:10" x14ac:dyDescent="0.45">
      <c r="B29" s="19" t="s">
        <v>52</v>
      </c>
      <c r="C29" s="19" t="s">
        <v>72</v>
      </c>
      <c r="D29" s="19" t="s">
        <v>68</v>
      </c>
    </row>
    <row r="30" spans="2:10" ht="14.65" thickBot="1" x14ac:dyDescent="0.5">
      <c r="B30" s="21" t="s">
        <v>73</v>
      </c>
      <c r="C30" s="21" t="s">
        <v>74</v>
      </c>
      <c r="D30" s="21"/>
    </row>
  </sheetData>
  <mergeCells count="2">
    <mergeCell ref="L9:P12"/>
    <mergeCell ref="B21:D2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1DF4-1245-4ECB-AEEE-149C3F3A0EF6}">
  <dimension ref="A2:AK35"/>
  <sheetViews>
    <sheetView zoomScale="88" zoomScaleNormal="70" workbookViewId="0">
      <selection activeCell="E17" sqref="E17"/>
    </sheetView>
  </sheetViews>
  <sheetFormatPr defaultRowHeight="14.25" x14ac:dyDescent="0.45"/>
  <cols>
    <col min="2" max="2" width="30" customWidth="1"/>
    <col min="3" max="3" width="50.19921875" customWidth="1"/>
    <col min="4" max="4" width="25.73046875" customWidth="1"/>
    <col min="5" max="5" width="10.19921875" customWidth="1"/>
    <col min="6" max="6" width="13.3984375" customWidth="1"/>
    <col min="7" max="7" width="16" customWidth="1"/>
    <col min="8" max="8" width="15.796875" customWidth="1"/>
    <col min="14" max="14" width="20.9296875" customWidth="1"/>
    <col min="15" max="15" width="16.33203125" customWidth="1"/>
    <col min="16" max="16" width="14.06640625" customWidth="1"/>
    <col min="17" max="37" width="10.59765625" customWidth="1"/>
  </cols>
  <sheetData>
    <row r="2" spans="1:37" ht="17.25" x14ac:dyDescent="0.45">
      <c r="B2" s="24" t="s">
        <v>75</v>
      </c>
      <c r="C2" s="24"/>
      <c r="D2" s="24"/>
      <c r="E2" s="25"/>
      <c r="F2" s="26"/>
      <c r="G2" s="26"/>
      <c r="H2" s="26"/>
      <c r="I2" s="26"/>
      <c r="J2" s="26"/>
      <c r="N2" s="24" t="s">
        <v>76</v>
      </c>
      <c r="O2" s="24"/>
      <c r="P2" s="24"/>
    </row>
    <row r="3" spans="1:37" x14ac:dyDescent="0.45">
      <c r="B3" s="27"/>
      <c r="C3" s="26"/>
      <c r="D3" s="28"/>
      <c r="E3" s="25"/>
      <c r="F3" s="25"/>
      <c r="G3" s="26"/>
      <c r="H3" s="29"/>
      <c r="I3" s="26"/>
      <c r="J3" s="26"/>
    </row>
    <row r="4" spans="1:37" x14ac:dyDescent="0.45">
      <c r="B4" s="30" t="s">
        <v>77</v>
      </c>
      <c r="E4" s="26"/>
      <c r="F4" s="31"/>
      <c r="G4" s="32"/>
      <c r="H4" s="32"/>
      <c r="I4" s="32"/>
      <c r="J4" s="32"/>
    </row>
    <row r="5" spans="1:37" ht="26.25" x14ac:dyDescent="0.45">
      <c r="B5" s="6" t="s">
        <v>37</v>
      </c>
      <c r="C5" s="6" t="s">
        <v>78</v>
      </c>
      <c r="D5" s="6" t="s">
        <v>79</v>
      </c>
      <c r="E5" s="6" t="s">
        <v>80</v>
      </c>
      <c r="F5" s="6" t="s">
        <v>81</v>
      </c>
      <c r="G5" s="6" t="s">
        <v>82</v>
      </c>
      <c r="H5" s="6" t="s">
        <v>83</v>
      </c>
      <c r="I5" s="33"/>
      <c r="J5" s="34"/>
      <c r="N5" s="6" t="s">
        <v>37</v>
      </c>
      <c r="O5" s="6" t="s">
        <v>78</v>
      </c>
      <c r="P5" s="6" t="s">
        <v>79</v>
      </c>
      <c r="Q5" s="35" t="s">
        <v>84</v>
      </c>
      <c r="R5" s="36" t="s">
        <v>85</v>
      </c>
      <c r="S5" s="36" t="s">
        <v>86</v>
      </c>
      <c r="T5" s="36" t="s">
        <v>87</v>
      </c>
      <c r="U5" s="36" t="s">
        <v>88</v>
      </c>
      <c r="V5" s="36" t="s">
        <v>89</v>
      </c>
      <c r="W5" s="37" t="s">
        <v>90</v>
      </c>
      <c r="X5" s="36" t="s">
        <v>91</v>
      </c>
      <c r="Y5" s="36" t="s">
        <v>92</v>
      </c>
      <c r="Z5" s="36" t="s">
        <v>93</v>
      </c>
      <c r="AA5" s="36" t="s">
        <v>94</v>
      </c>
      <c r="AB5" s="36" t="s">
        <v>95</v>
      </c>
      <c r="AC5" s="36" t="s">
        <v>96</v>
      </c>
      <c r="AD5" s="37" t="s">
        <v>97</v>
      </c>
      <c r="AE5" s="36" t="s">
        <v>98</v>
      </c>
      <c r="AF5" s="36" t="s">
        <v>99</v>
      </c>
      <c r="AG5" s="36" t="s">
        <v>100</v>
      </c>
      <c r="AH5" s="36" t="s">
        <v>101</v>
      </c>
      <c r="AI5" s="36" t="s">
        <v>102</v>
      </c>
      <c r="AJ5" s="36" t="s">
        <v>103</v>
      </c>
      <c r="AK5" s="37" t="s">
        <v>104</v>
      </c>
    </row>
    <row r="6" spans="1:37" ht="51" x14ac:dyDescent="0.45">
      <c r="B6" s="7" t="s">
        <v>105</v>
      </c>
      <c r="C6" s="7" t="s">
        <v>47</v>
      </c>
      <c r="D6" s="7" t="s">
        <v>106</v>
      </c>
      <c r="E6" s="7" t="s">
        <v>122</v>
      </c>
      <c r="F6" s="7" t="s">
        <v>107</v>
      </c>
      <c r="G6" s="7" t="s">
        <v>108</v>
      </c>
      <c r="H6" s="7" t="s">
        <v>109</v>
      </c>
      <c r="I6" s="38"/>
      <c r="N6" s="7" t="s">
        <v>105</v>
      </c>
      <c r="O6" s="7" t="s">
        <v>47</v>
      </c>
      <c r="P6" s="7" t="s">
        <v>106</v>
      </c>
      <c r="Q6" s="89" t="s">
        <v>131</v>
      </c>
      <c r="R6" s="90"/>
      <c r="S6" s="90"/>
      <c r="T6" s="90"/>
      <c r="U6" s="90"/>
      <c r="V6" s="90"/>
      <c r="W6" s="91"/>
      <c r="X6" s="90" t="s">
        <v>107</v>
      </c>
      <c r="Y6" s="90"/>
      <c r="Z6" s="90"/>
      <c r="AA6" s="90"/>
      <c r="AB6" s="90"/>
      <c r="AC6" s="90"/>
      <c r="AD6" s="91"/>
      <c r="AE6" s="90" t="s">
        <v>109</v>
      </c>
      <c r="AF6" s="90"/>
      <c r="AG6" s="90"/>
      <c r="AH6" s="90"/>
      <c r="AI6" s="90"/>
      <c r="AJ6" s="90"/>
      <c r="AK6" s="91"/>
    </row>
    <row r="7" spans="1:37" x14ac:dyDescent="0.45">
      <c r="B7" s="44" t="str">
        <f>sec_processes!D7</f>
        <v>IMP_SOLID</v>
      </c>
      <c r="C7" s="44" t="str">
        <f>sec_processes!E7</f>
        <v>Solid Input Supply</v>
      </c>
      <c r="D7" s="54" t="str">
        <f>SEC_Comm!C7</f>
        <v>SOLID</v>
      </c>
      <c r="E7" s="45">
        <v>5.72</v>
      </c>
      <c r="F7" s="46"/>
      <c r="G7" s="46"/>
      <c r="H7" s="46"/>
      <c r="N7" s="39"/>
      <c r="O7" s="39"/>
      <c r="P7" s="39"/>
      <c r="Q7" s="58"/>
      <c r="R7" s="59"/>
      <c r="S7" s="59"/>
      <c r="T7" s="59"/>
      <c r="U7" s="59"/>
      <c r="V7" s="59"/>
      <c r="W7" s="60"/>
      <c r="X7" s="43"/>
      <c r="Y7" s="43"/>
      <c r="Z7" s="43"/>
      <c r="AA7" s="43"/>
      <c r="AB7" s="43"/>
      <c r="AC7" s="43"/>
      <c r="AD7" s="43"/>
      <c r="AE7" s="59"/>
      <c r="AF7" s="43"/>
      <c r="AG7" s="43"/>
      <c r="AH7" s="43"/>
      <c r="AI7" s="43"/>
      <c r="AJ7" s="43"/>
      <c r="AK7" s="43"/>
    </row>
    <row r="8" spans="1:37" x14ac:dyDescent="0.45">
      <c r="B8" s="39" t="str">
        <f>sec_processes!D8</f>
        <v>IMP_CRUDE_OIL</v>
      </c>
      <c r="C8" s="39" t="str">
        <f>sec_processes!E8</f>
        <v>Oil input Supply</v>
      </c>
      <c r="D8" s="40" t="str">
        <f>SEC_Comm!C8</f>
        <v>CRUDE_OIL</v>
      </c>
      <c r="E8" s="65">
        <v>13.33</v>
      </c>
      <c r="F8" s="42"/>
      <c r="G8" s="42"/>
      <c r="H8" s="42"/>
      <c r="N8" s="39"/>
      <c r="O8" s="39"/>
      <c r="P8" s="39"/>
      <c r="Q8" s="58"/>
      <c r="R8" s="59"/>
      <c r="S8" s="59"/>
      <c r="T8" s="59"/>
      <c r="U8" s="59"/>
      <c r="V8" s="59"/>
      <c r="W8" s="60"/>
      <c r="X8" s="43"/>
      <c r="Y8" s="43"/>
      <c r="Z8" s="43"/>
      <c r="AA8" s="43"/>
      <c r="AB8" s="43"/>
      <c r="AC8" s="43"/>
      <c r="AD8" s="43"/>
      <c r="AE8" s="59"/>
      <c r="AF8" s="43"/>
      <c r="AG8" s="43"/>
      <c r="AH8" s="43"/>
      <c r="AI8" s="43"/>
      <c r="AJ8" s="43"/>
      <c r="AK8" s="43"/>
    </row>
    <row r="9" spans="1:37" x14ac:dyDescent="0.45">
      <c r="B9" s="44" t="str">
        <f>sec_processes!D10</f>
        <v>IMP_NLG</v>
      </c>
      <c r="C9" s="44" t="s">
        <v>150</v>
      </c>
      <c r="D9" s="54" t="str">
        <f>SEC_Comm!C18</f>
        <v>NLG</v>
      </c>
      <c r="E9" s="45">
        <v>12.52</v>
      </c>
      <c r="F9" s="46"/>
      <c r="G9" s="46"/>
      <c r="H9" s="46"/>
      <c r="N9" s="39"/>
      <c r="O9" s="39"/>
      <c r="P9" s="39"/>
      <c r="Q9" s="58"/>
      <c r="R9" s="59"/>
      <c r="S9" s="59"/>
      <c r="T9" s="59"/>
      <c r="U9" s="59"/>
      <c r="V9" s="59"/>
      <c r="W9" s="60"/>
      <c r="X9" s="43"/>
      <c r="Y9" s="43"/>
      <c r="Z9" s="43"/>
      <c r="AA9" s="43"/>
      <c r="AB9" s="43"/>
      <c r="AC9" s="43"/>
      <c r="AD9" s="43"/>
      <c r="AE9" s="59"/>
      <c r="AF9" s="43"/>
      <c r="AG9" s="43"/>
      <c r="AH9" s="43"/>
      <c r="AI9" s="43"/>
      <c r="AJ9" s="43"/>
      <c r="AK9" s="43"/>
    </row>
    <row r="10" spans="1:37" x14ac:dyDescent="0.45">
      <c r="B10" s="39" t="str">
        <f>sec_processes!D9</f>
        <v>IMP_BIOMASS</v>
      </c>
      <c r="C10" s="39" t="str">
        <f>sec_processes!E9</f>
        <v>Biomass input Supply</v>
      </c>
      <c r="D10" s="40" t="str">
        <f>SEC_Comm!C19</f>
        <v>BIOMASS</v>
      </c>
      <c r="E10" s="41">
        <v>21</v>
      </c>
      <c r="F10" s="42"/>
      <c r="G10" s="42"/>
      <c r="H10" s="42"/>
      <c r="N10" s="39"/>
      <c r="O10" s="39"/>
      <c r="P10" s="39"/>
      <c r="Q10" s="58"/>
      <c r="R10" s="59"/>
      <c r="S10" s="59"/>
      <c r="T10" s="59"/>
      <c r="U10" s="59"/>
      <c r="V10" s="59"/>
      <c r="W10" s="60"/>
      <c r="X10" s="43"/>
      <c r="Y10" s="43"/>
      <c r="Z10" s="43"/>
      <c r="AA10" s="43"/>
      <c r="AB10" s="43"/>
      <c r="AC10" s="43"/>
      <c r="AD10" s="43"/>
      <c r="AE10" s="59"/>
      <c r="AF10" s="43"/>
      <c r="AG10" s="43"/>
      <c r="AH10" s="43"/>
      <c r="AI10" s="43"/>
      <c r="AJ10" s="43"/>
      <c r="AK10" s="43"/>
    </row>
    <row r="11" spans="1:37" x14ac:dyDescent="0.45">
      <c r="A11" s="67"/>
      <c r="B11" s="44" t="str">
        <f>sec_processes!D12</f>
        <v>MIN_OILGAS</v>
      </c>
      <c r="C11" s="44" t="str">
        <f>sec_processes!E12</f>
        <v>Industrial synthesis gas derived from oil refinery by-products</v>
      </c>
      <c r="D11" s="54" t="str">
        <f>SEC_Comm!C9</f>
        <v>OILGAS</v>
      </c>
      <c r="E11" s="45">
        <v>15</v>
      </c>
      <c r="F11" s="73"/>
      <c r="G11" s="46"/>
      <c r="H11" s="46"/>
      <c r="N11" s="39"/>
      <c r="O11" s="39"/>
      <c r="P11" s="39"/>
      <c r="Q11" s="58"/>
      <c r="R11" s="59"/>
      <c r="S11" s="59"/>
      <c r="T11" s="59"/>
      <c r="U11" s="59"/>
      <c r="V11" s="59"/>
      <c r="W11" s="60"/>
      <c r="X11" s="43"/>
      <c r="Y11" s="43"/>
      <c r="Z11" s="43"/>
      <c r="AA11" s="43"/>
      <c r="AB11" s="43"/>
      <c r="AC11" s="43"/>
      <c r="AD11" s="43"/>
      <c r="AE11" s="59"/>
      <c r="AF11" s="43"/>
      <c r="AG11" s="43"/>
      <c r="AH11" s="43"/>
      <c r="AI11" s="43"/>
      <c r="AJ11" s="43"/>
      <c r="AK11" s="43"/>
    </row>
    <row r="12" spans="1:37" x14ac:dyDescent="0.45">
      <c r="A12" s="67"/>
      <c r="B12" s="39" t="str">
        <f>sec_processes!D13</f>
        <v>MIN_SOLAR</v>
      </c>
      <c r="C12" s="39" t="str">
        <f>sec_processes!E13</f>
        <v>Solar</v>
      </c>
      <c r="D12" s="40" t="str">
        <f>SEC_Comm!C25</f>
        <v>SOLAR</v>
      </c>
      <c r="E12" s="41">
        <v>0.01</v>
      </c>
      <c r="F12" s="42"/>
      <c r="G12" s="42"/>
      <c r="H12" s="42"/>
      <c r="N12" s="39"/>
      <c r="O12" s="39"/>
      <c r="P12" s="39"/>
      <c r="Q12" s="58"/>
      <c r="R12" s="59"/>
      <c r="S12" s="59"/>
      <c r="T12" s="59"/>
      <c r="U12" s="59"/>
      <c r="V12" s="59"/>
      <c r="W12" s="60"/>
      <c r="X12" s="43"/>
      <c r="Y12" s="43"/>
      <c r="Z12" s="43"/>
      <c r="AA12" s="43"/>
      <c r="AB12" s="43"/>
      <c r="AC12" s="43"/>
      <c r="AD12" s="43"/>
      <c r="AE12" s="59"/>
      <c r="AF12" s="43"/>
      <c r="AG12" s="43"/>
      <c r="AH12" s="43"/>
      <c r="AI12" s="43"/>
      <c r="AJ12" s="43"/>
      <c r="AK12" s="43"/>
    </row>
    <row r="13" spans="1:37" x14ac:dyDescent="0.45">
      <c r="A13" s="67"/>
      <c r="B13" s="44" t="str">
        <f>sec_processes!D15</f>
        <v>MIN_WIND_ON</v>
      </c>
      <c r="C13" s="44" t="str">
        <f>sec_processes!E15</f>
        <v>Wind</v>
      </c>
      <c r="D13" s="54" t="str">
        <f>SEC_Comm!C23</f>
        <v>WIND-ON</v>
      </c>
      <c r="E13" s="45">
        <v>0.01</v>
      </c>
      <c r="F13" s="46"/>
      <c r="G13" s="46"/>
      <c r="H13" s="46"/>
      <c r="N13" s="39"/>
      <c r="O13" s="39"/>
      <c r="P13" s="39"/>
      <c r="Q13" s="58"/>
      <c r="R13" s="59"/>
      <c r="S13" s="59"/>
      <c r="T13" s="59"/>
      <c r="U13" s="59"/>
      <c r="V13" s="59"/>
      <c r="W13" s="60"/>
      <c r="X13" s="43"/>
      <c r="Y13" s="43"/>
      <c r="Z13" s="43"/>
      <c r="AA13" s="43"/>
      <c r="AB13" s="43"/>
      <c r="AC13" s="43"/>
      <c r="AD13" s="43"/>
      <c r="AE13" s="59"/>
      <c r="AF13" s="43"/>
      <c r="AG13" s="43"/>
      <c r="AH13" s="43"/>
      <c r="AI13" s="43"/>
      <c r="AJ13" s="43"/>
      <c r="AK13" s="43"/>
    </row>
    <row r="14" spans="1:37" x14ac:dyDescent="0.45">
      <c r="A14" s="67"/>
      <c r="B14" s="39" t="s">
        <v>173</v>
      </c>
      <c r="C14" s="39" t="s">
        <v>174</v>
      </c>
      <c r="D14" s="40" t="str">
        <f>SEC_Comm!C20</f>
        <v>HIDRO</v>
      </c>
      <c r="E14" s="41">
        <v>0.01</v>
      </c>
      <c r="F14" s="41"/>
      <c r="G14" s="42"/>
      <c r="H14" s="42"/>
      <c r="N14" s="39"/>
      <c r="O14" s="39"/>
      <c r="P14" s="39"/>
      <c r="Q14" s="58"/>
      <c r="R14" s="59"/>
      <c r="S14" s="59"/>
      <c r="T14" s="59"/>
      <c r="U14" s="59"/>
      <c r="V14" s="59"/>
      <c r="W14" s="60"/>
      <c r="X14" s="43"/>
      <c r="Y14" s="43"/>
      <c r="Z14" s="43"/>
      <c r="AA14" s="43"/>
      <c r="AB14" s="43"/>
      <c r="AC14" s="43"/>
      <c r="AD14" s="43"/>
      <c r="AE14" s="59"/>
      <c r="AF14" s="43"/>
      <c r="AG14" s="43"/>
      <c r="AH14" s="43"/>
      <c r="AI14" s="43"/>
      <c r="AJ14" s="43"/>
      <c r="AK14" s="43"/>
    </row>
    <row r="15" spans="1:37" x14ac:dyDescent="0.45">
      <c r="A15" s="67"/>
      <c r="B15" s="44" t="str">
        <f>sec_processes!D16</f>
        <v>MIN_BIOGAS_AGR</v>
      </c>
      <c r="C15" s="44" t="str">
        <f>sec_processes!E16</f>
        <v>Biogas Production</v>
      </c>
      <c r="D15" s="54" t="str">
        <f>SEC_Comm!C24</f>
        <v>BIOGAS</v>
      </c>
      <c r="E15" s="45">
        <v>27</v>
      </c>
      <c r="F15" s="45">
        <v>5.12</v>
      </c>
      <c r="G15" s="46"/>
      <c r="H15" s="46"/>
      <c r="N15" s="39"/>
      <c r="O15" s="39"/>
      <c r="P15" s="39"/>
      <c r="Q15" s="58"/>
      <c r="R15" s="59"/>
      <c r="S15" s="59"/>
      <c r="T15" s="59"/>
      <c r="U15" s="59"/>
      <c r="V15" s="59"/>
      <c r="W15" s="60"/>
      <c r="X15" s="43"/>
      <c r="Y15" s="43"/>
      <c r="Z15" s="43"/>
      <c r="AA15" s="43"/>
      <c r="AB15" s="43"/>
      <c r="AC15" s="43"/>
      <c r="AD15" s="43"/>
      <c r="AE15" s="59"/>
      <c r="AF15" s="43"/>
      <c r="AG15" s="43"/>
      <c r="AH15" s="43"/>
      <c r="AI15" s="43"/>
      <c r="AJ15" s="43"/>
      <c r="AK15" s="43"/>
    </row>
    <row r="16" spans="1:37" x14ac:dyDescent="0.45">
      <c r="B16" s="39" t="str">
        <f>sec_processes!D14</f>
        <v>MIN_BIOMASS</v>
      </c>
      <c r="C16" s="39" t="str">
        <f>sec_processes!E14</f>
        <v>Local Biomass</v>
      </c>
      <c r="D16" s="40" t="str">
        <f>SEC_Comm!C19</f>
        <v>BIOMASS</v>
      </c>
      <c r="E16" s="41">
        <v>19</v>
      </c>
      <c r="F16" s="41">
        <v>5.08</v>
      </c>
      <c r="G16" s="42"/>
      <c r="H16" s="42"/>
      <c r="N16" s="39"/>
      <c r="O16" s="39"/>
      <c r="P16" s="39"/>
      <c r="Q16" s="58"/>
      <c r="R16" s="59"/>
      <c r="S16" s="59"/>
      <c r="T16" s="59"/>
      <c r="U16" s="59"/>
      <c r="V16" s="59"/>
      <c r="W16" s="60"/>
      <c r="X16" s="43"/>
      <c r="Y16" s="43"/>
      <c r="Z16" s="43"/>
      <c r="AA16" s="43"/>
      <c r="AB16" s="43"/>
      <c r="AC16" s="43"/>
      <c r="AD16" s="43"/>
      <c r="AE16" s="59"/>
      <c r="AF16" s="43"/>
      <c r="AG16" s="43"/>
      <c r="AH16" s="43"/>
      <c r="AI16" s="43"/>
      <c r="AJ16" s="43"/>
      <c r="AK16" s="43"/>
    </row>
    <row r="17" spans="2:37" x14ac:dyDescent="0.45">
      <c r="N17" s="39"/>
      <c r="O17" s="39"/>
      <c r="P17" s="39"/>
      <c r="Q17" s="58"/>
      <c r="R17" s="59"/>
      <c r="S17" s="59"/>
      <c r="T17" s="59"/>
      <c r="U17" s="59"/>
      <c r="V17" s="59"/>
      <c r="W17" s="60"/>
      <c r="X17" s="43"/>
      <c r="Y17" s="43"/>
      <c r="Z17" s="43"/>
      <c r="AA17" s="43"/>
      <c r="AB17" s="43"/>
      <c r="AC17" s="43"/>
      <c r="AD17" s="43"/>
      <c r="AE17" s="59"/>
      <c r="AF17" s="43"/>
      <c r="AG17" s="43"/>
      <c r="AH17" s="43"/>
      <c r="AI17" s="43"/>
      <c r="AJ17" s="43"/>
      <c r="AK17" s="43"/>
    </row>
    <row r="18" spans="2:37" x14ac:dyDescent="0.45">
      <c r="B18" s="39"/>
      <c r="C18" s="39"/>
      <c r="D18" s="40"/>
      <c r="E18" s="41"/>
      <c r="F18" s="42"/>
      <c r="G18" s="42"/>
      <c r="H18" s="42"/>
      <c r="N18" s="39"/>
      <c r="O18" s="39"/>
      <c r="P18" s="39"/>
      <c r="Q18" s="58"/>
      <c r="R18" s="59"/>
      <c r="S18" s="59"/>
      <c r="T18" s="59"/>
      <c r="U18" s="59"/>
      <c r="V18" s="59"/>
      <c r="W18" s="60"/>
      <c r="X18" s="43"/>
      <c r="Y18" s="43"/>
      <c r="Z18" s="43"/>
      <c r="AA18" s="43"/>
      <c r="AB18" s="43"/>
      <c r="AC18" s="43"/>
      <c r="AD18" s="43"/>
      <c r="AE18" s="59"/>
      <c r="AF18" s="43"/>
      <c r="AG18" s="43"/>
      <c r="AH18" s="43"/>
      <c r="AI18" s="43"/>
      <c r="AJ18" s="43"/>
      <c r="AK18" s="43"/>
    </row>
    <row r="19" spans="2:37" ht="14.65" thickBot="1" x14ac:dyDescent="0.5">
      <c r="N19" s="47" t="e">
        <f>#REF!</f>
        <v>#REF!</v>
      </c>
      <c r="O19" s="47" t="e">
        <f>#REF!</f>
        <v>#REF!</v>
      </c>
      <c r="P19" s="48" t="e">
        <f>#REF!</f>
        <v>#REF!</v>
      </c>
      <c r="Q19" s="51">
        <v>1E-3</v>
      </c>
      <c r="R19" s="49">
        <v>1E-3</v>
      </c>
      <c r="S19" s="49">
        <v>1E-3</v>
      </c>
      <c r="T19" s="49">
        <v>1E-3</v>
      </c>
      <c r="U19" s="49">
        <v>1E-3</v>
      </c>
      <c r="V19" s="49">
        <v>1E-3</v>
      </c>
      <c r="W19" s="52">
        <v>1E-3</v>
      </c>
      <c r="X19" s="50"/>
      <c r="Y19" s="50"/>
      <c r="Z19" s="50"/>
      <c r="AA19" s="50"/>
      <c r="AB19" s="50"/>
      <c r="AC19" s="50"/>
      <c r="AD19" s="50"/>
      <c r="AE19" s="53"/>
      <c r="AF19" s="50"/>
      <c r="AG19" s="50"/>
      <c r="AH19" s="50"/>
      <c r="AI19" s="50"/>
      <c r="AJ19" s="50"/>
      <c r="AK19" s="50"/>
    </row>
    <row r="20" spans="2:37" x14ac:dyDescent="0.45">
      <c r="B20" s="39"/>
    </row>
    <row r="21" spans="2:37" x14ac:dyDescent="0.45">
      <c r="AA21" t="s">
        <v>132</v>
      </c>
    </row>
    <row r="22" spans="2:37" ht="17.25" x14ac:dyDescent="0.45">
      <c r="B22" s="24" t="s">
        <v>112</v>
      </c>
      <c r="C22" s="24"/>
      <c r="D22" s="24"/>
    </row>
    <row r="27" spans="2:37" ht="14.65" thickBot="1" x14ac:dyDescent="0.5"/>
    <row r="28" spans="2:37" x14ac:dyDescent="0.45">
      <c r="B28" s="83" t="s">
        <v>110</v>
      </c>
      <c r="C28" s="84"/>
      <c r="D28" s="85"/>
    </row>
    <row r="29" spans="2:37" ht="14.65" thickBot="1" x14ac:dyDescent="0.5">
      <c r="B29" s="86"/>
      <c r="C29" s="87"/>
      <c r="D29" s="88"/>
    </row>
    <row r="30" spans="2:37" x14ac:dyDescent="0.45">
      <c r="B30" s="74" t="s">
        <v>111</v>
      </c>
      <c r="C30" s="75"/>
      <c r="D30" s="76"/>
    </row>
    <row r="31" spans="2:37" x14ac:dyDescent="0.45">
      <c r="B31" s="77"/>
      <c r="C31" s="78"/>
      <c r="D31" s="79"/>
    </row>
    <row r="32" spans="2:37" x14ac:dyDescent="0.45">
      <c r="B32" s="77"/>
      <c r="C32" s="78"/>
      <c r="D32" s="79"/>
    </row>
    <row r="33" spans="2:4" x14ac:dyDescent="0.45">
      <c r="B33" s="77"/>
      <c r="C33" s="78"/>
      <c r="D33" s="79"/>
    </row>
    <row r="34" spans="2:4" x14ac:dyDescent="0.45">
      <c r="B34" s="77"/>
      <c r="C34" s="78"/>
      <c r="D34" s="79"/>
    </row>
    <row r="35" spans="2:4" ht="14.65" thickBot="1" x14ac:dyDescent="0.5">
      <c r="B35" s="80"/>
      <c r="C35" s="81"/>
      <c r="D35" s="82"/>
    </row>
  </sheetData>
  <mergeCells count="5">
    <mergeCell ref="B30:D35"/>
    <mergeCell ref="B28:D29"/>
    <mergeCell ref="Q6:W6"/>
    <mergeCell ref="X6:AD6"/>
    <mergeCell ref="AE6:A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2015-06-05T18:19:34Z</dcterms:created>
  <dcterms:modified xsi:type="dcterms:W3CDTF">2026-03-26T09:28:58Z</dcterms:modified>
</cp:coreProperties>
</file>