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\SuppXLS\"/>
    </mc:Choice>
  </mc:AlternateContent>
  <xr:revisionPtr revIDLastSave="0" documentId="13_ncr:1_{A3884033-0703-46EA-BD32-4E47C056FA60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NCAP_BND" sheetId="1" r:id="rId1"/>
  </sheets>
  <externalReferences>
    <externalReference r:id="rId2"/>
    <externalReference r:id="rId3"/>
  </externalReferenc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19" i="1" l="1"/>
  <c r="F20" i="1"/>
  <c r="F16" i="1"/>
  <c r="F15" i="1"/>
  <c r="F18" i="1" l="1"/>
  <c r="F17" i="1"/>
  <c r="F14" i="1"/>
  <c r="F13" i="1"/>
  <c r="F12" i="1"/>
  <c r="F11" i="1"/>
  <c r="F10" i="1"/>
  <c r="F9" i="1"/>
  <c r="N20" i="1" l="1" a="1"/>
  <c r="N20" i="1" s="1"/>
  <c r="P30" i="1"/>
  <c r="Q30" i="1" s="1"/>
  <c r="P28" i="1"/>
  <c r="Q28" i="1" s="1"/>
  <c r="R28" i="1" s="1"/>
  <c r="R30" i="1" l="1"/>
  <c r="F8" i="1" l="1"/>
  <c r="F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<sst xmlns="http://schemas.openxmlformats.org/spreadsheetml/2006/main" count="50" uniqueCount="16">
  <si>
    <t>~TFM_INS</t>
  </si>
  <si>
    <t>LimType</t>
  </si>
  <si>
    <t>Attribute</t>
  </si>
  <si>
    <t>Year</t>
  </si>
  <si>
    <t>NCAP_BND</t>
  </si>
  <si>
    <t>\I: Bound Type</t>
  </si>
  <si>
    <t>Attribute Name</t>
  </si>
  <si>
    <t>Value in Region [GW]</t>
  </si>
  <si>
    <t>Process Set: Process Name</t>
  </si>
  <si>
    <t>FX</t>
  </si>
  <si>
    <t xml:space="preserve"> </t>
  </si>
  <si>
    <t>SAR</t>
  </si>
  <si>
    <t>Pset_SAR</t>
  </si>
  <si>
    <t>TOT</t>
  </si>
  <si>
    <t>PNIEC GOAL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</si>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</sst>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164" fontId="3" fillId="5" borderId="3" xfId="0" applyNumberFormat="1" applyFont="1" applyFill="1" applyBorder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</cellXfs>
  <cellStyles count="2">
    <cellStyle name="Normal 10" xfId="1" xr:uid="{A585D030-39B3-455A-A609-91818EC6E183}"/>
    <cellStyle name="Normale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SubRES_TMPL/SubRES_NEW_PP.xlsx" TargetMode="External"/><Relationship Id="rId2" Type="http://schemas.openxmlformats.org/officeDocument/2006/relationships/externalLinkPath" Target="file:///C:\myprogect\myproject\SubRES_TMPL\SubRES_NEW_PP.xlsx" TargetMode="External"/><Relationship Id="rId1" Type="http://schemas.openxmlformats.org/officeDocument/2006/relationships/externalLinkPath" Target="/myprogect/myproject/SubRES_TMPL/SubRES_NEW_PP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VT_Model_ELC_01.xlsx" TargetMode="External"/><Relationship Id="rId2" Type="http://schemas.openxmlformats.org/officeDocument/2006/relationships/externalLinkPath" Target="file:///C:\myprogect\myproject\VT_Model_ELC_01.xlsx" TargetMode="External"/><Relationship Id="rId1" Type="http://schemas.openxmlformats.org/officeDocument/2006/relationships/externalLinkPath" Target="/myprogect/myproject/VT_Model_ELC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LC"/>
    </sheetNames>
    <sheetDataSet>
      <sheetData sheetId="0">
        <row r="7">
          <cell r="B7" t="str">
            <v>ELE_NEW_NAT_GAS_CCGT</v>
          </cell>
        </row>
        <row r="9">
          <cell r="B9" t="str">
            <v>ELE_NEW_NAT_GAS_CCGT_CCS</v>
          </cell>
        </row>
        <row r="11">
          <cell r="B11" t="str">
            <v>PRE_NEW_HIDROGEN</v>
          </cell>
        </row>
        <row r="12">
          <cell r="B12" t="str">
            <v>STG_HIDROGEN_ALL</v>
          </cell>
        </row>
        <row r="13">
          <cell r="B13" t="str">
            <v>ELE_NEW_HIDROGEN_TURBINE_CCHT</v>
          </cell>
        </row>
        <row r="14">
          <cell r="B14" t="str">
            <v>NRG_FUEL_CELL_ENGINE</v>
          </cell>
        </row>
        <row r="20">
          <cell r="B20" t="str">
            <v>NEW_ELEC_STG_2H</v>
          </cell>
        </row>
        <row r="22">
          <cell r="B22" t="str">
            <v>NEW_ELEC_STG_6H</v>
          </cell>
        </row>
        <row r="24">
          <cell r="B24" t="str">
            <v>NEW_ELEC_STG_8H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32"/>
  <sheetViews>
    <sheetView tabSelected="1" topLeftCell="A2" zoomScale="130" zoomScaleNormal="130" workbookViewId="0">
      <selection activeCell="D28" sqref="D28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3.42578125" customWidth="1"/>
  </cols>
  <sheetData>
    <row r="2" spans="2:10" x14ac:dyDescent="0.2">
      <c r="B2" s="8" t="s">
        <v>10</v>
      </c>
    </row>
    <row r="4" spans="2:10" ht="18.75" customHeight="1" thickBot="1" x14ac:dyDescent="0.3">
      <c r="B4" s="4" t="s">
        <v>0</v>
      </c>
      <c r="C4" s="4"/>
      <c r="D4" s="4"/>
      <c r="E4" s="4"/>
      <c r="F4" s="4"/>
    </row>
    <row r="5" spans="2:10" ht="13.5" thickBot="1" x14ac:dyDescent="0.25">
      <c r="B5" s="5" t="s">
        <v>1</v>
      </c>
      <c r="C5" s="5" t="s">
        <v>2</v>
      </c>
      <c r="D5" s="5" t="s">
        <v>3</v>
      </c>
      <c r="E5" s="5" t="s">
        <v>11</v>
      </c>
      <c r="F5" s="5" t="s">
        <v>12</v>
      </c>
    </row>
    <row r="6" spans="2:10" ht="26.25" thickBot="1" x14ac:dyDescent="0.25">
      <c r="B6" s="6" t="s">
        <v>5</v>
      </c>
      <c r="C6" s="6" t="s">
        <v>6</v>
      </c>
      <c r="D6" s="6" t="s">
        <v>3</v>
      </c>
      <c r="E6" s="6" t="s">
        <v>7</v>
      </c>
      <c r="F6" s="6" t="s">
        <v>8</v>
      </c>
    </row>
    <row r="7" spans="2:10" ht="18.95" customHeight="1" x14ac:dyDescent="0.2">
      <c r="B7" s="2" t="s">
        <v>9</v>
      </c>
      <c r="C7" s="2" t="s">
        <v>4</v>
      </c>
      <c r="D7" s="2">
        <v>2030</v>
      </c>
      <c r="E7" s="2">
        <v>0.2</v>
      </c>
      <c r="F7" s="2" t="str">
        <f>[1]ELC!$B$7</f>
        <v>ELE_NEW_NAT_GAS_CCGT</v>
      </c>
    </row>
    <row r="8" spans="2:10" ht="18.95" customHeight="1" x14ac:dyDescent="0.2">
      <c r="B8" s="12" t="s">
        <v>15</v>
      </c>
      <c r="C8" s="12" t="s">
        <v>4</v>
      </c>
      <c r="D8" s="12">
        <v>2035</v>
      </c>
      <c r="E8" s="12">
        <v>0.3</v>
      </c>
      <c r="F8" s="12" t="str">
        <f>[1]ELC!$B$7</f>
        <v>ELE_NEW_NAT_GAS_CCGT</v>
      </c>
    </row>
    <row r="9" spans="2:10" ht="18.95" customHeight="1" x14ac:dyDescent="0.2">
      <c r="B9" s="15" t="s">
        <v>9</v>
      </c>
      <c r="C9" s="15" t="s">
        <v>4</v>
      </c>
      <c r="D9" s="15">
        <v>2030</v>
      </c>
      <c r="E9" s="15">
        <v>0.2</v>
      </c>
      <c r="F9" s="2" t="str">
        <f>[1]ELC!$B$9</f>
        <v>ELE_NEW_NAT_GAS_CCGT_CCS</v>
      </c>
    </row>
    <row r="10" spans="2:10" ht="18.95" customHeight="1" x14ac:dyDescent="0.2">
      <c r="B10" s="12" t="s">
        <v>15</v>
      </c>
      <c r="C10" s="12" t="s">
        <v>4</v>
      </c>
      <c r="D10" s="12">
        <v>2035</v>
      </c>
      <c r="E10" s="12">
        <v>0.3</v>
      </c>
      <c r="F10" s="12" t="str">
        <f>[1]ELC!$B$9</f>
        <v>ELE_NEW_NAT_GAS_CCGT_CCS</v>
      </c>
    </row>
    <row r="11" spans="2:10" ht="18.75" customHeight="1" x14ac:dyDescent="0.2">
      <c r="B11" s="2" t="s">
        <v>9</v>
      </c>
      <c r="C11" s="2" t="s">
        <v>4</v>
      </c>
      <c r="D11" s="2">
        <v>2030</v>
      </c>
      <c r="E11" s="3">
        <v>0.3</v>
      </c>
      <c r="F11" s="2" t="str">
        <f>[1]ELC!$B$11</f>
        <v>PRE_NEW_HIDROGEN</v>
      </c>
      <c r="J11" s="1"/>
    </row>
    <row r="12" spans="2:10" ht="18.75" customHeight="1" x14ac:dyDescent="0.2">
      <c r="B12" s="10" t="s">
        <v>15</v>
      </c>
      <c r="C12" s="10" t="s">
        <v>4</v>
      </c>
      <c r="D12" s="10">
        <v>2035</v>
      </c>
      <c r="E12" s="11">
        <v>0.7</v>
      </c>
      <c r="F12" s="10" t="str">
        <f>[1]ELC!$B$11</f>
        <v>PRE_NEW_HIDROGEN</v>
      </c>
      <c r="I12" s="7"/>
    </row>
    <row r="13" spans="2:10" ht="18.75" customHeight="1" x14ac:dyDescent="0.2">
      <c r="B13" s="2" t="s">
        <v>9</v>
      </c>
      <c r="C13" s="2" t="s">
        <v>4</v>
      </c>
      <c r="D13" s="2">
        <v>2030</v>
      </c>
      <c r="E13" s="3">
        <v>0.7</v>
      </c>
      <c r="F13" s="2" t="str">
        <f>[1]ELC!$B$12</f>
        <v>STG_HIDROGEN_ALL</v>
      </c>
      <c r="J13" s="1"/>
    </row>
    <row r="14" spans="2:10" ht="18.75" customHeight="1" x14ac:dyDescent="0.2">
      <c r="B14" s="12" t="s">
        <v>15</v>
      </c>
      <c r="C14" s="12" t="s">
        <v>4</v>
      </c>
      <c r="D14" s="12">
        <v>2035</v>
      </c>
      <c r="E14" s="13">
        <v>1</v>
      </c>
      <c r="F14" s="12" t="str">
        <f>[1]ELC!$B$12</f>
        <v>STG_HIDROGEN_ALL</v>
      </c>
      <c r="J14" s="1"/>
    </row>
    <row r="15" spans="2:10" ht="18.75" customHeight="1" x14ac:dyDescent="0.2">
      <c r="B15" s="15" t="s">
        <v>9</v>
      </c>
      <c r="C15" s="15" t="s">
        <v>4</v>
      </c>
      <c r="D15" s="15">
        <v>2025</v>
      </c>
      <c r="E15" s="21">
        <v>0</v>
      </c>
      <c r="F15" s="15" t="str">
        <f>[1]ELC!$B$13</f>
        <v>ELE_NEW_HIDROGEN_TURBINE_CCHT</v>
      </c>
      <c r="J15" s="1"/>
    </row>
    <row r="16" spans="2:10" ht="18.75" customHeight="1" x14ac:dyDescent="0.2">
      <c r="B16" s="12" t="s">
        <v>15</v>
      </c>
      <c r="C16" s="12" t="s">
        <v>4</v>
      </c>
      <c r="D16" s="12">
        <v>2030</v>
      </c>
      <c r="E16" s="13">
        <v>0.15</v>
      </c>
      <c r="F16" s="12" t="str">
        <f>[1]ELC!$B$13</f>
        <v>ELE_NEW_HIDROGEN_TURBINE_CCHT</v>
      </c>
      <c r="J16" s="1"/>
    </row>
    <row r="17" spans="2:21" ht="18.75" customHeight="1" x14ac:dyDescent="0.2">
      <c r="B17" s="15" t="s">
        <v>9</v>
      </c>
      <c r="C17" s="15" t="s">
        <v>4</v>
      </c>
      <c r="D17" s="15">
        <v>2035</v>
      </c>
      <c r="E17" s="21">
        <v>0.8</v>
      </c>
      <c r="F17" s="15" t="str">
        <f>[1]ELC!$B$14</f>
        <v>NRG_FUEL_CELL_ENGINE</v>
      </c>
      <c r="J17" s="1"/>
    </row>
    <row r="18" spans="2:21" ht="18.75" customHeight="1" x14ac:dyDescent="0.2">
      <c r="B18" s="12" t="s">
        <v>15</v>
      </c>
      <c r="C18" s="12" t="s">
        <v>4</v>
      </c>
      <c r="D18" s="12">
        <v>2040</v>
      </c>
      <c r="E18" s="13">
        <v>1.2</v>
      </c>
      <c r="F18" s="12" t="str">
        <f>[1]ELC!$B$14</f>
        <v>NRG_FUEL_CELL_ENGINE</v>
      </c>
      <c r="J18" s="1"/>
    </row>
    <row r="19" spans="2:21" ht="18.75" customHeight="1" x14ac:dyDescent="0.2">
      <c r="B19" s="10" t="s">
        <v>9</v>
      </c>
      <c r="C19" s="12" t="s">
        <v>4</v>
      </c>
      <c r="D19" s="10">
        <v>2025</v>
      </c>
      <c r="E19" s="11">
        <v>1</v>
      </c>
      <c r="F19" s="10" t="str">
        <f>[1]ELC!$B$20</f>
        <v>NEW_ELEC_STG_2H</v>
      </c>
      <c r="I19" s="7"/>
      <c r="O19">
        <v>2023</v>
      </c>
      <c r="P19">
        <v>2025</v>
      </c>
      <c r="Q19">
        <v>2030</v>
      </c>
      <c r="R19">
        <v>2035</v>
      </c>
      <c r="S19">
        <v>2040</v>
      </c>
      <c r="T19">
        <v>2045</v>
      </c>
      <c r="U19">
        <v>2050</v>
      </c>
    </row>
    <row r="20" spans="2:21" ht="18.75" customHeight="1" x14ac:dyDescent="0.2">
      <c r="B20" s="2" t="s">
        <v>15</v>
      </c>
      <c r="C20" s="2" t="s">
        <v>4</v>
      </c>
      <c r="D20" s="2">
        <v>2030</v>
      </c>
      <c r="E20" s="3">
        <v>2</v>
      </c>
      <c r="F20" s="2" t="str">
        <f>[1]ELC!$B$20</f>
        <v>NEW_ELEC_STG_2H</v>
      </c>
      <c r="J20" s="1"/>
      <c r="N20" t="str" cm="1">
        <f t="array" ref="N20:N27">[2]RES!$B$7:$B$14</f>
        <v>ELE_EX_BIOMASS</v>
      </c>
      <c r="O20" s="16">
        <v>0.1</v>
      </c>
      <c r="P20" s="16">
        <v>0.1</v>
      </c>
      <c r="Q20" s="16">
        <v>0.2</v>
      </c>
      <c r="R20" s="16">
        <v>0</v>
      </c>
      <c r="S20" s="16">
        <v>0</v>
      </c>
      <c r="T20" s="16">
        <v>0</v>
      </c>
      <c r="U20" s="16">
        <v>0</v>
      </c>
    </row>
    <row r="21" spans="2:21" ht="18.75" customHeight="1" x14ac:dyDescent="0.2">
      <c r="B21" s="10" t="s">
        <v>9</v>
      </c>
      <c r="C21" s="12" t="s">
        <v>4</v>
      </c>
      <c r="D21" s="10">
        <v>2025</v>
      </c>
      <c r="E21" s="3">
        <v>1</v>
      </c>
      <c r="F21" s="2" t="str">
        <f>[1]ELC!$B$22</f>
        <v>NEW_ELEC_STG_6H</v>
      </c>
      <c r="J21" s="1"/>
      <c r="N21" t="str">
        <v>ELE_EX_HIDRO</v>
      </c>
      <c r="O21" s="16"/>
      <c r="P21" s="16"/>
      <c r="Q21" s="16"/>
      <c r="R21" s="16"/>
      <c r="S21" s="16"/>
      <c r="T21" s="16"/>
      <c r="U21" s="16"/>
    </row>
    <row r="22" spans="2:21" ht="18.75" customHeight="1" x14ac:dyDescent="0.2">
      <c r="B22" s="2" t="s">
        <v>15</v>
      </c>
      <c r="C22" s="2" t="s">
        <v>4</v>
      </c>
      <c r="D22" s="2">
        <v>2030</v>
      </c>
      <c r="E22" s="3">
        <v>2</v>
      </c>
      <c r="F22" s="2" t="str">
        <f>[1]ELC!$B$22</f>
        <v>NEW_ELEC_STG_6H</v>
      </c>
      <c r="J22" s="1"/>
      <c r="N22" t="str">
        <v>ELE_EX_HIDRO_RUN</v>
      </c>
      <c r="O22" s="16"/>
      <c r="P22" s="16"/>
      <c r="Q22" s="16"/>
      <c r="R22" s="16"/>
      <c r="S22" s="16"/>
      <c r="T22" s="16"/>
      <c r="U22" s="16"/>
    </row>
    <row r="23" spans="2:21" ht="18.75" customHeight="1" x14ac:dyDescent="0.2">
      <c r="B23" s="10" t="s">
        <v>9</v>
      </c>
      <c r="C23" s="12" t="s">
        <v>4</v>
      </c>
      <c r="D23" s="10">
        <v>2025</v>
      </c>
      <c r="E23" s="3">
        <v>1</v>
      </c>
      <c r="F23" s="2" t="str">
        <f>[1]ELC!$B$24</f>
        <v>NEW_ELEC_STG_8H</v>
      </c>
      <c r="J23" s="1"/>
      <c r="N23" t="str">
        <v>ELE_EX_HIDRO_STORAGE_PUMP</v>
      </c>
      <c r="O23" s="16"/>
      <c r="P23" s="16"/>
      <c r="Q23" s="16"/>
      <c r="R23" s="16"/>
      <c r="S23" s="16"/>
      <c r="T23" s="16"/>
      <c r="U23" s="16"/>
    </row>
    <row r="24" spans="2:21" ht="18.75" customHeight="1" x14ac:dyDescent="0.2">
      <c r="B24" s="22" t="s">
        <v>15</v>
      </c>
      <c r="C24" s="22" t="s">
        <v>4</v>
      </c>
      <c r="D24" s="22">
        <v>2030</v>
      </c>
      <c r="E24" s="9">
        <v>2</v>
      </c>
      <c r="F24" s="22" t="str">
        <f>[1]ELC!$B$24</f>
        <v>NEW_ELEC_STG_8H</v>
      </c>
      <c r="I24" s="7"/>
      <c r="N24" t="str">
        <v>ELE_EX_OTHER</v>
      </c>
      <c r="O24" s="1">
        <v>0.24</v>
      </c>
      <c r="P24" s="1">
        <v>0.24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2:21" x14ac:dyDescent="0.2">
      <c r="E25" s="14"/>
      <c r="N25" t="str">
        <v>ELE_EX_WIND-ON</v>
      </c>
      <c r="O25" s="16">
        <v>7.0000000000000007E-2</v>
      </c>
      <c r="P25" s="16">
        <v>7.0000000000000007E-2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</row>
    <row r="26" spans="2:21" x14ac:dyDescent="0.2">
      <c r="N26" t="str">
        <v>ELE_EX_AUTOPR_PV</v>
      </c>
      <c r="O26" s="17">
        <v>0.2</v>
      </c>
      <c r="P26" s="17">
        <v>0.2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</row>
    <row r="27" spans="2:21" x14ac:dyDescent="0.2">
      <c r="N27" t="str">
        <v>ELE_EX_AUTOPR_PV_RES</v>
      </c>
      <c r="O27" s="16">
        <v>0.1</v>
      </c>
      <c r="P27" s="16">
        <v>0.1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</row>
    <row r="28" spans="2:21" x14ac:dyDescent="0.2">
      <c r="O28" s="18">
        <v>1.17</v>
      </c>
      <c r="P28" s="1">
        <f>O28+0.049</f>
        <v>1.2189999999999999</v>
      </c>
      <c r="Q28" s="1">
        <f>P28+0.049</f>
        <v>1.2679999999999998</v>
      </c>
      <c r="R28" s="1">
        <f>Q28+0.049</f>
        <v>1.3169999999999997</v>
      </c>
      <c r="S28" s="1">
        <v>0</v>
      </c>
      <c r="T28" s="1">
        <v>0</v>
      </c>
      <c r="U28" s="1">
        <v>0</v>
      </c>
    </row>
    <row r="29" spans="2:21" x14ac:dyDescent="0.2">
      <c r="O29" s="18">
        <v>7.1999999999999995E-2</v>
      </c>
      <c r="P29" s="1">
        <v>0.08</v>
      </c>
      <c r="Q29" s="1">
        <v>0.12</v>
      </c>
      <c r="R29" s="1">
        <v>0.16</v>
      </c>
      <c r="S29" s="1">
        <v>0.3</v>
      </c>
      <c r="T29" s="1">
        <v>0</v>
      </c>
      <c r="U29" s="1">
        <v>0</v>
      </c>
    </row>
    <row r="30" spans="2:21" ht="13.5" thickBot="1" x14ac:dyDescent="0.25">
      <c r="O30" s="19">
        <v>1.36</v>
      </c>
      <c r="P30" s="20">
        <f>O30+0.72</f>
        <v>2.08</v>
      </c>
      <c r="Q30" s="20">
        <f>P30+0.36</f>
        <v>2.44</v>
      </c>
      <c r="R30" s="20">
        <f>Q30+0.36</f>
        <v>2.8</v>
      </c>
      <c r="S30" s="20">
        <v>0</v>
      </c>
      <c r="T30" s="20">
        <v>0</v>
      </c>
      <c r="U30" s="20">
        <v>0</v>
      </c>
    </row>
    <row r="31" spans="2:21" x14ac:dyDescent="0.2">
      <c r="N31" t="s">
        <v>13</v>
      </c>
    </row>
    <row r="32" spans="2:21" x14ac:dyDescent="0.2">
      <c r="N32" t="s">
        <v>14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8DDFBE94-8463-4610-B89B-ED8FC2DD25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19C01F-CA71-4C8D-96CD-5BFCC0849A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D1DF3B-E7FC-4762-97D3-E9AC14DDD5AF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Pier Luca Maria Buonomo</cp:lastModifiedBy>
  <cp:revision/>
  <dcterms:created xsi:type="dcterms:W3CDTF">2007-09-10T09:55:31Z</dcterms:created>
  <dcterms:modified xsi:type="dcterms:W3CDTF">2026-05-08T08:56:24Z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